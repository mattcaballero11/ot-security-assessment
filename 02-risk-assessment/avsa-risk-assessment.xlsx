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oring Rubric" sheetId="2" state="visible" r:id="rId4"/>
    <sheet name="Zone &amp; Conduit Register" sheetId="3" state="visible" r:id="rId5"/>
    <sheet name="Risk Register" sheetId="4" state="visible" r:id="rId6"/>
    <sheet name="SL-T Summary" sheetId="5" state="visible" r:id="rId7"/>
  </sheets>
  <definedNames>
    <definedName function="false" hidden="true" localSheetId="3" name="_xlnm._FilterDatabase" vbProcedure="false">'Risk Register'!$A$4:$M$18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<sst xmlns="http://schemas.openxmlformats.org/spreadsheetml/2006/main" count="353" uniqueCount="275">
  <si>
    <t xml:space="preserve">AVSA OT/ICS Security Risk Assessment</t>
  </si>
  <si>
    <t xml:space="preserve">IEC 62443-3-2 · fictional scenario for portfolio demonstration · no real client data</t>
  </si>
  <si>
    <t xml:space="preserve">Organization</t>
  </si>
  <si>
    <t xml:space="preserve">Aguas de Valdenor, S.A. (AVSA), fictional municipal water utility in northern Spain</t>
  </si>
  <si>
    <t xml:space="preserve">Facility</t>
  </si>
  <si>
    <t xml:space="preserve">ETAP Río Almora drinking-water treatment plant + distribution telemetry</t>
  </si>
  <si>
    <t xml:space="preserve">Standard</t>
  </si>
  <si>
    <t xml:space="preserve">IEC 62443-3-2 (risk assessment); refs NIST SP 800-82r3, MITRE ATT&amp;CK for ICS</t>
  </si>
  <si>
    <t xml:space="preserve">Assessment type</t>
  </si>
  <si>
    <t xml:space="preserve">Architecture- and interview-based (paper assessment); no active scanning performed</t>
  </si>
  <si>
    <t xml:space="preserve">Tabs in this workbook</t>
  </si>
  <si>
    <t xml:space="preserve">  Scoring Rubric</t>
  </si>
  <si>
    <t xml:space="preserve">Consequence, likelihood, risk-band and security-level definitions used throughout</t>
  </si>
  <si>
    <t xml:space="preserve">  Zone &amp; Conduit Register</t>
  </si>
  <si>
    <t xml:space="preserve">ZCR 3. Target zones and conduits with SL-T, current SL-A, and gap</t>
  </si>
  <si>
    <t xml:space="preserve">  Risk Register</t>
  </si>
  <si>
    <t xml:space="preserve">ZCR 4. 14 scored risks with inherent/residual ratings and ATT&amp;CK for ICS refs</t>
  </si>
  <si>
    <t xml:space="preserve">  SL-T Summary</t>
  </si>
  <si>
    <t xml:space="preserve">Target vs estimated-current security level per zone, with foundational-requirement notes</t>
  </si>
  <si>
    <t xml:space="preserve">How to read risk scores</t>
  </si>
  <si>
    <t xml:space="preserve">Risk = Likelihood × Consequence (1–25).  Low 1–5 · Medium 6–10 · High 11–15 · Critical 16–25</t>
  </si>
  <si>
    <t xml:space="preserve">Current network reality</t>
  </si>
  <si>
    <t xml:space="preserve">The zone model is the TARGET. AVSA's network is currently flat/unsegmented (finding AO-2),</t>
  </si>
  <si>
    <t xml:space="preserve">so these boundaries are not enforced today. The SL-T vs SL-A gap quantifies that security debt.</t>
  </si>
  <si>
    <t xml:space="preserve">Disclaimer</t>
  </si>
  <si>
    <t xml:space="preserve">Fictional organization; public frameworks only; no client data, proprietary material, or confidential artifacts.</t>
  </si>
  <si>
    <t xml:space="preserve">Scoring Rubric</t>
  </si>
  <si>
    <t xml:space="preserve">Applied consistently across the zone/conduit and risk registers</t>
  </si>
  <si>
    <t xml:space="preserve">Consequence (rate the highest applicable dimension: public health / service continuity / personnel safety / environmental / regulatory-financial)</t>
  </si>
  <si>
    <t xml:space="preserve">Rating</t>
  </si>
  <si>
    <t xml:space="preserve">Descriptor</t>
  </si>
  <si>
    <t xml:space="preserve">Water-utility anchor</t>
  </si>
  <si>
    <t xml:space="preserve">Negligible</t>
  </si>
  <si>
    <t xml:space="preserve">No measurable effect on water quality, supply, or safety; trivial operational noise.</t>
  </si>
  <si>
    <t xml:space="preserve">Minor</t>
  </si>
  <si>
    <t xml:space="preserve">Short, localized operational disruption; no customer supply loss; no health or safety impact.</t>
  </si>
  <si>
    <t xml:space="preserve">Moderate</t>
  </si>
  <si>
    <t xml:space="preserve">Localized supply interruption (some customers, hours) or degraded control, recoverable within a shift; minor regulatory notification.</t>
  </si>
  <si>
    <t xml:space="preserve">Major</t>
  </si>
  <si>
    <t xml:space="preserve">Wider/extended supply interruption, or loss of control/view; water-quality deviation caught before harm; NIS2-reportable; safety near-miss.</t>
  </si>
  <si>
    <t xml:space="preserve">Severe</t>
  </si>
  <si>
    <t xml:space="preserve">Unsafe water reaches consumers, OR chlorine-gas release harms personnel, OR prolonged population-wide loss of supply; potential loss of life.</t>
  </si>
  <si>
    <t xml:space="preserve">Likelihood (threat capability &amp; motivation × exposure × effectiveness of existing controls; assessed inherent then residual)</t>
  </si>
  <si>
    <t xml:space="preserve">Rare: requires exceptional resources or access; strongly mitigated; no known targeting.</t>
  </si>
  <si>
    <t xml:space="preserve">Unlikely: requires significant capability or insider access; meaningful barriers present.</t>
  </si>
  <si>
    <t xml:space="preserve">Possible: achievable by a moderately capable actor; exposure exists; controls partial or weak.</t>
  </si>
  <si>
    <t xml:space="preserve">Likely: achievable with known techniques by a common actor; clear exposure; little/no effective control.</t>
  </si>
  <si>
    <t xml:space="preserve">Almost certain: trivial to exploit; actively targeted in the wild; exposed with no barrier.</t>
  </si>
  <si>
    <t xml:space="preserve">Risk = Likelihood × Consequence (1–25)</t>
  </si>
  <si>
    <t xml:space="preserve">Band</t>
  </si>
  <si>
    <t xml:space="preserve">Score</t>
  </si>
  <si>
    <t xml:space="preserve">Action</t>
  </si>
  <si>
    <t xml:space="preserve">Low</t>
  </si>
  <si>
    <t xml:space="preserve">1–5</t>
  </si>
  <si>
    <t xml:space="preserve">Tolerable; monitor.</t>
  </si>
  <si>
    <t xml:space="preserve">Medium</t>
  </si>
  <si>
    <t xml:space="preserve">6–10</t>
  </si>
  <si>
    <t xml:space="preserve">Treat within normal planning cycles.</t>
  </si>
  <si>
    <t xml:space="preserve">High</t>
  </si>
  <si>
    <t xml:space="preserve">11–15</t>
  </si>
  <si>
    <t xml:space="preserve">Prioritized treatment required.</t>
  </si>
  <si>
    <t xml:space="preserve">Critical</t>
  </si>
  <si>
    <t xml:space="preserve">16–25</t>
  </si>
  <si>
    <t xml:space="preserve">Urgent; treat ahead of routine work.</t>
  </si>
  <si>
    <t xml:space="preserve">Security Level (SL): graded 1 to 4 by the attacker capability a zone must withstand</t>
  </si>
  <si>
    <t xml:space="preserve">SL</t>
  </si>
  <si>
    <t xml:space="preserve">Withstands</t>
  </si>
  <si>
    <t xml:space="preserve">Casual or coincidental violation (no real attacker).</t>
  </si>
  <si>
    <t xml:space="preserve">Intentional, simple means, low resources, generic skills, low motivation (common cybercriminal).</t>
  </si>
  <si>
    <t xml:space="preserve">Sophisticated means, moderate resources, ICS-specific skills, moderate motivation (capable OT-aware actor).</t>
  </si>
  <si>
    <t xml:space="preserve">Sophisticated means, extended resources, ICS-specific skills, high motivation (well-resourced nation-state).</t>
  </si>
  <si>
    <t xml:space="preserve">SL-T = target (assigned by risk) · SL-A = achieved (actual today) · SL-C = capability (what a product can provide).</t>
  </si>
  <si>
    <t xml:space="preserve">Zone &amp; Conduit Register (ZCR 3)</t>
  </si>
  <si>
    <t xml:space="preserve">Target zone model, grouped by consequence and function. Current network is flat (AO-2); gaps quantify the debt.</t>
  </si>
  <si>
    <t xml:space="preserve">Zone</t>
  </si>
  <si>
    <t xml:space="preserve">Name</t>
  </si>
  <si>
    <t xml:space="preserve">Purdue</t>
  </si>
  <si>
    <t xml:space="preserve">Key assets</t>
  </si>
  <si>
    <t xml:space="preserve">Consequence driver</t>
  </si>
  <si>
    <t xml:space="preserve">SL-T</t>
  </si>
  <si>
    <t xml:space="preserve">Est. SL-A</t>
  </si>
  <si>
    <t xml:space="preserve">Gap</t>
  </si>
  <si>
    <t xml:space="preserve">Z1</t>
  </si>
  <si>
    <t xml:space="preserve">Enterprise</t>
  </si>
  <si>
    <t xml:space="preserve">L4–5</t>
  </si>
  <si>
    <t xml:space="preserve">Corporate IT: billing, ERP, GIS, email, reporting server</t>
  </si>
  <si>
    <t xml:space="preserve">External to SuC; modelled as a threat source (ransomware origin, Nov 2025)</t>
  </si>
  <si>
    <t xml:space="preserve">n/a</t>
  </si>
  <si>
    <t xml:space="preserve">Z2</t>
  </si>
  <si>
    <t xml:space="preserve">OT DMZ</t>
  </si>
  <si>
    <t xml:space="preserve">L3.5</t>
  </si>
  <si>
    <t xml:space="preserve">TARGET: replica historian, MFA jump host, patch/AV staging. Does not exist today (AO-1).</t>
  </si>
  <si>
    <t xml:space="preserve">Keystone IT/OT boundary; its absence is the single largest structural risk</t>
  </si>
  <si>
    <t xml:space="preserve">3</t>
  </si>
  <si>
    <t xml:space="preserve">0</t>
  </si>
  <si>
    <t xml:space="preserve">Z3</t>
  </si>
  <si>
    <t xml:space="preserve">Site Operations</t>
  </si>
  <si>
    <t xml:space="preserve">L3</t>
  </si>
  <si>
    <t xml:space="preserve">Process historian, engineering workstation, field laptop</t>
  </si>
  <si>
    <t xml:space="preserve">Historian bridges IT/OT (AO-1); EWS holds PLC-programming authority (AO-5)</t>
  </si>
  <si>
    <t xml:space="preserve">2</t>
  </si>
  <si>
    <t xml:space="preserve">1</t>
  </si>
  <si>
    <t xml:space="preserve">Z4</t>
  </si>
  <si>
    <t xml:space="preserve">Supervisory Control</t>
  </si>
  <si>
    <t xml:space="preserve">L2</t>
  </si>
  <si>
    <t xml:space="preserve">Redundant SCADA pair, 4 operator WS, 6 HMIs (2× Windows 7)</t>
  </si>
  <si>
    <t xml:space="preserve">Central control leverage over every downstream process; loss of view/control</t>
  </si>
  <si>
    <t xml:space="preserve">Z5</t>
  </si>
  <si>
    <t xml:space="preserve">Process Control</t>
  </si>
  <si>
    <t xml:space="preserve">L1</t>
  </si>
  <si>
    <t xml:space="preserve">PA-1/2/3/5 PLCs (20 × S7-1500) + Level 0 field devices</t>
  </si>
  <si>
    <t xml:space="preserve">Disruption of intake, coagulation, filtration, or high-lift; supply continuity</t>
  </si>
  <si>
    <t xml:space="preserve">Z6</t>
  </si>
  <si>
    <t xml:space="preserve">Chlorine Dosing Control</t>
  </si>
  <si>
    <t xml:space="preserve">PA-4 PLCs (4 × S7-1500) + Level 0. Hardwired safety layer is separate/out-of-band.</t>
  </si>
  <si>
    <t xml:space="preserve">PUBLIC HEALTH: dosing manipulation affects water safety. Highest-consequence zone.</t>
  </si>
  <si>
    <t xml:space="preserve">Z7</t>
  </si>
  <si>
    <t xml:space="preserve">Distribution Telemetry</t>
  </si>
  <si>
    <t xml:space="preserve">L1 rem.</t>
  </si>
  <si>
    <t xml:space="preserve">13 × RTU/S7-1200 at 9 pumping stations + 4 reservoirs</t>
  </si>
  <si>
    <t xml:space="preserve">Remote/unmanned, cellular; reservoir re-dosing RTUs carry a water-quality consequence</t>
  </si>
  <si>
    <t xml:space="preserve">2 (re-dosing: 3)</t>
  </si>
  <si>
    <t xml:space="preserve">0–1</t>
  </si>
  <si>
    <t xml:space="preserve">2–3</t>
  </si>
  <si>
    <t xml:space="preserve">Conduits</t>
  </si>
  <si>
    <t xml:space="preserve">Conduit</t>
  </si>
  <si>
    <t xml:space="preserve">Between</t>
  </si>
  <si>
    <t xml:space="preserve">Purpose</t>
  </si>
  <si>
    <t xml:space="preserve">Current state</t>
  </si>
  <si>
    <t xml:space="preserve">C1</t>
  </si>
  <si>
    <t xml:space="preserve">Z1 Enterprise ↔ Z2 OT DMZ</t>
  </si>
  <si>
    <t xml:space="preserve">The IT/OT boundary; all cross-domain traffic</t>
  </si>
  <si>
    <t xml:space="preserve">No DMZ exists; historian's 2nd NIC bypasses the firewall entirely (AO-1)</t>
  </si>
  <si>
    <t xml:space="preserve">C2</t>
  </si>
  <si>
    <t xml:space="preserve">Z2 OT DMZ ↔ Z3 Site Operations</t>
  </si>
  <si>
    <t xml:space="preserve">Brokered replication, staged patches, jump-host access</t>
  </si>
  <si>
    <t xml:space="preserve">Absent (no DMZ to broker through)</t>
  </si>
  <si>
    <t xml:space="preserve">C3</t>
  </si>
  <si>
    <t xml:space="preserve">Z3 Site Operations ↔ Z4 Supervisory</t>
  </si>
  <si>
    <t xml:space="preserve">Historian data collection, engineering access</t>
  </si>
  <si>
    <t xml:space="preserve">Same flat segment; unsegmented (AO-2)</t>
  </si>
  <si>
    <t xml:space="preserve">C4</t>
  </si>
  <si>
    <t xml:space="preserve">Z4 Supervisory ↔ Z5 Process Control</t>
  </si>
  <si>
    <t xml:space="preserve">SCADA/HMI supervision and control (Profinet/OPC UA)</t>
  </si>
  <si>
    <t xml:space="preserve">Flat; no conduit enforcement</t>
  </si>
  <si>
    <t xml:space="preserve">C5</t>
  </si>
  <si>
    <t xml:space="preserve">Z4 Supervisory ↔ Z6 Chlorine Dosing</t>
  </si>
  <si>
    <t xml:space="preserve">Dosing supervision and setpoint commands</t>
  </si>
  <si>
    <t xml:space="preserve">Flat; no enforced separation around the highest-consequence zone</t>
  </si>
  <si>
    <t xml:space="preserve">C6</t>
  </si>
  <si>
    <t xml:space="preserve">Z7 Telemetry ↔ plant (4G VPN)</t>
  </si>
  <si>
    <t xml:space="preserve">Remote monitoring/control of distribution sites</t>
  </si>
  <si>
    <t xml:space="preserve">VPN encrypted, but terminates directly inside the flat plant LAN (AO-2)</t>
  </si>
  <si>
    <t xml:space="preserve">C7</t>
  </si>
  <si>
    <t xml:space="preserve">Vendor remote access (Nortec) ↔ plant</t>
  </si>
  <si>
    <t xml:space="preserve">SCADA support and PLC logic maintenance</t>
  </si>
  <si>
    <t xml:space="preserve">Shared VPN account, standing access, no MFA (AO-3)</t>
  </si>
  <si>
    <t xml:space="preserve">Risk Register (ZCR 4)</t>
  </si>
  <si>
    <t xml:space="preserve">Risk = Likelihood × Consequence. Inherent = before existing controls; Residual = after. Cross-refs to AO-1…AO-5 and ATT&amp;CK for ICS.</t>
  </si>
  <si>
    <t xml:space="preserve">ID</t>
  </si>
  <si>
    <t xml:space="preserve">Threat event</t>
  </si>
  <si>
    <t xml:space="preserve">Zone/Conduit</t>
  </si>
  <si>
    <t xml:space="preserve">Vuln</t>
  </si>
  <si>
    <t xml:space="preserve">Threat source</t>
  </si>
  <si>
    <t xml:space="preserve">C</t>
  </si>
  <si>
    <t xml:space="preserve">L(i)</t>
  </si>
  <si>
    <t xml:space="preserve">Inherent</t>
  </si>
  <si>
    <t xml:space="preserve">Existing / compensating controls</t>
  </si>
  <si>
    <t xml:space="preserve">L(r)</t>
  </si>
  <si>
    <t xml:space="preserve">Residual</t>
  </si>
  <si>
    <t xml:space="preserve">ATT&amp;CK for ICS</t>
  </si>
  <si>
    <t xml:space="preserve">R-01</t>
  </si>
  <si>
    <t xml:space="preserve">Corporate ransomware pivots into the plant via the dual-homed historian</t>
  </si>
  <si>
    <t xml:space="preserve">C1 / Z3</t>
  </si>
  <si>
    <t xml:space="preserve">AO-1</t>
  </si>
  <si>
    <t xml:space="preserve">Cybercriminal (ransomware)</t>
  </si>
  <si>
    <t xml:space="preserve">IT firewall exists but the historian's 2nd NIC bypasses it; 24/7 ops may notice disruption</t>
  </si>
  <si>
    <t xml:space="preserve">T0866 Exploitation of Remote Services; T0826 Loss of Availability</t>
  </si>
  <si>
    <t xml:space="preserve">R-02</t>
  </si>
  <si>
    <t xml:space="preserve">Compromise of the cellular VPN or a remote RTU enables lateral movement into the flat plant LAN</t>
  </si>
  <si>
    <t xml:space="preserve">C6 / Z4</t>
  </si>
  <si>
    <t xml:space="preserve">AO-2</t>
  </si>
  <si>
    <t xml:space="preserve">Cybercriminal / hacktivist</t>
  </si>
  <si>
    <t xml:space="preserve">VPN is encrypted, but it terminates inside an unsegmented LAN, so no lateral containment</t>
  </si>
  <si>
    <t xml:space="preserve">T0822 External Remote Services; T0886 Remote Services</t>
  </si>
  <si>
    <t xml:space="preserve">R-03</t>
  </si>
  <si>
    <t xml:space="preserve">Theft or misuse of the shared Nortec VPN credential grants direct SCADA/PLC access</t>
  </si>
  <si>
    <t xml:space="preserve">C7 / Z4</t>
  </si>
  <si>
    <t xml:space="preserve">AO-3</t>
  </si>
  <si>
    <t xml:space="preserve">Cybercriminal / malicious insider</t>
  </si>
  <si>
    <t xml:space="preserve">None effective. Shared account, standing access, no MFA.</t>
  </si>
  <si>
    <t xml:space="preserve">T0822 External Remote Services; T0859 Valid Accounts</t>
  </si>
  <si>
    <t xml:space="preserve">R-04</t>
  </si>
  <si>
    <t xml:space="preserve">Manipulation of chlorine dosing setpoints degrades water quality reaching consumers</t>
  </si>
  <si>
    <t xml:space="preserve">Z6 + control access</t>
  </si>
  <si>
    <t xml:space="preserve">Nation-state / capable ICS actor</t>
  </si>
  <si>
    <t xml:space="preserve">Hardwired safety covers GAS RELEASE, not dosing setpoints; lab sampling may detect after the fact</t>
  </si>
  <si>
    <t xml:space="preserve">T0836 Modify Parameter; T0831 Manipulation of Control</t>
  </si>
  <si>
    <t xml:space="preserve">R-05</t>
  </si>
  <si>
    <t xml:space="preserve">Exploitation of a Windows 7 HMI provides a foothold in the supervisory zone</t>
  </si>
  <si>
    <t xml:space="preserve">AO-4</t>
  </si>
  <si>
    <t xml:space="preserve">Cybercriminal</t>
  </si>
  <si>
    <t xml:space="preserve">Panels have some physical isolation, but sit on the flat LAN; OS unpatchable pending vendor requalification</t>
  </si>
  <si>
    <t xml:space="preserve">T0866 Exploitation of Remote Services</t>
  </si>
  <si>
    <t xml:space="preserve">R-06</t>
  </si>
  <si>
    <t xml:space="preserve">Phishing of the engineering-workstation user leads to an unauthorized PLC logic change</t>
  </si>
  <si>
    <t xml:space="preserve">Z3 → Z5</t>
  </si>
  <si>
    <t xml:space="preserve">AO-5</t>
  </si>
  <si>
    <t xml:space="preserve">Cybercriminal / nation-state</t>
  </si>
  <si>
    <t xml:space="preserve">None. EWS is dual-used for email/web with no application control.</t>
  </si>
  <si>
    <t xml:space="preserve">T0865 Spearphishing Attachment; T0843 Program Download; T0821 Modify Controller Tasking</t>
  </si>
  <si>
    <t xml:space="preserve">R-07</t>
  </si>
  <si>
    <t xml:space="preserve">Access to a remote RTU via default credentials manipulates pumping or reservoir re-dosing</t>
  </si>
  <si>
    <t xml:space="preserve">W-09</t>
  </si>
  <si>
    <t xml:space="preserve">Opportunistic / hacktivist</t>
  </si>
  <si>
    <t xml:space="preserve">Physical locks vary by site; reservoir re-dosing carries a water-quality consequence</t>
  </si>
  <si>
    <t xml:space="preserve">T0812 Default Credentials</t>
  </si>
  <si>
    <t xml:space="preserve">R-08</t>
  </si>
  <si>
    <t xml:space="preserve">Unmanaged USB used for logic updates introduces malware into the OT environment</t>
  </si>
  <si>
    <t xml:space="preserve">Z4 / Z5</t>
  </si>
  <si>
    <t xml:space="preserve">W-10</t>
  </si>
  <si>
    <t xml:space="preserve">Cybercriminal (incl. supply chain)</t>
  </si>
  <si>
    <t xml:space="preserve">No USB control, allow-listing, or scanning of transient media</t>
  </si>
  <si>
    <t xml:space="preserve">T0847 Replication Through Removable Media; T0864 Transient Cyber Asset</t>
  </si>
  <si>
    <t xml:space="preserve">R-09</t>
  </si>
  <si>
    <t xml:space="preserve">Loss or failure of the field laptop holding the sole PLC logic backups extends incident recovery</t>
  </si>
  <si>
    <t xml:space="preserve">W-07</t>
  </si>
  <si>
    <t xml:space="preserve">Non-adversarial / theft</t>
  </si>
  <si>
    <t xml:space="preserve">No centralized backup; single copy held on a portable device</t>
  </si>
  <si>
    <t xml:space="preserve">n/a (RA)</t>
  </si>
  <si>
    <t xml:space="preserve">supports recovery from T0809 Data Destruction</t>
  </si>
  <si>
    <t xml:space="preserve">R-10</t>
  </si>
  <si>
    <t xml:space="preserve">Absence of an OT-specific incident response plan prolongs and worsens any incident</t>
  </si>
  <si>
    <t xml:space="preserve">SuC-wide</t>
  </si>
  <si>
    <t xml:space="preserve">W-08</t>
  </si>
  <si>
    <t xml:space="preserve">Amplifier (all actors)</t>
  </si>
  <si>
    <t xml:space="preserve">IT IR plan excludes the plant; 24/7 staffing aids detection only, not response</t>
  </si>
  <si>
    <t xml:space="preserve">n/a (TRE)</t>
  </si>
  <si>
    <t xml:space="preserve">degrades response to Inhibit Response Function techniques</t>
  </si>
  <si>
    <t xml:space="preserve">R-11</t>
  </si>
  <si>
    <t xml:space="preserve">Physical access to an unmanned distribution site enables local RTU compromise</t>
  </si>
  <si>
    <t xml:space="preserve">Z7 exposure / W-09</t>
  </si>
  <si>
    <t xml:space="preserve">Opportunistic / insider</t>
  </si>
  <si>
    <t xml:space="preserve">Site locks present; consequence is localized to one station/reservoir</t>
  </si>
  <si>
    <t xml:space="preserve">T0864 Transient Cyber Asset; T0812 Default Credentials</t>
  </si>
  <si>
    <t xml:space="preserve">R-12</t>
  </si>
  <si>
    <t xml:space="preserve">The flat network lets a single foothold reach every OT asset (no restricted data flow)</t>
  </si>
  <si>
    <t xml:space="preserve">Amplifier (any actor)</t>
  </si>
  <si>
    <t xml:space="preserve">None. No segmentation between Levels 2/3 or around external entry points.</t>
  </si>
  <si>
    <t xml:space="preserve">3 (RDF)</t>
  </si>
  <si>
    <t xml:space="preserve">T0886 Remote Services (systemic amplifier)</t>
  </si>
  <si>
    <t xml:space="preserve">R-13</t>
  </si>
  <si>
    <t xml:space="preserve">Ransomware or DoS on the SCADA pair causes loss of view and control for operators</t>
  </si>
  <si>
    <t xml:space="preserve">AO-1 / AO-2</t>
  </si>
  <si>
    <t xml:space="preserve">Redundant pair, but both nodes share the subnet and the same malware exposure</t>
  </si>
  <si>
    <t xml:space="preserve">T0814 Denial of Service; T0815 Denial of View; T0813 Denial of Control</t>
  </si>
  <si>
    <t xml:space="preserve">R-14</t>
  </si>
  <si>
    <t xml:space="preserve">Alarm suppression or spoofed readings mask an ongoing process manipulation</t>
  </si>
  <si>
    <t xml:space="preserve">Z6 / Z4</t>
  </si>
  <si>
    <t xml:space="preserve">Z6 integrity</t>
  </si>
  <si>
    <t xml:space="preserve">Nation-state / capable</t>
  </si>
  <si>
    <t xml:space="preserve">Operator vigilance only; no command/telemetry integrity monitoring</t>
  </si>
  <si>
    <t xml:space="preserve">T0878 Alarm Suppression; T0856 Spoof Reporting Message; T0838 Modify Alarm Settings</t>
  </si>
  <si>
    <t xml:space="preserve">Security Level Summary: Target vs Current</t>
  </si>
  <si>
    <t xml:space="preserve">The SL-T minus SL-A gap is the security debt the remediation roadmap closes.</t>
  </si>
  <si>
    <t xml:space="preserve">SL-T (target)</t>
  </si>
  <si>
    <t xml:space="preserve">Est. SL-A (current)</t>
  </si>
  <si>
    <t xml:space="preserve">Notes</t>
  </si>
  <si>
    <t xml:space="preserve">Zone absent entirely (AO-1). Largest single gap; top roadmap priority.</t>
  </si>
  <si>
    <t xml:space="preserve">Historian dual-homing and EWS dual-use drive the gap.</t>
  </si>
  <si>
    <t xml:space="preserve">Central control leverage; Windows 7 HMIs cap achievable SL-A.</t>
  </si>
  <si>
    <t xml:space="preserve">Flat network is the main shortfall; endpoints otherwise modern.</t>
  </si>
  <si>
    <t xml:space="preserve">Highest consequence. FR vector: {IAC3,UC3,SI3,DC1,RDF3,TRE2,RA3}. DC only 1: setpoints are not confidential.</t>
  </si>
  <si>
    <t xml:space="preserve">Default creds (W-09) + cellular exposure. Reservoir re-dosing RTUs warrant SL-T 3.</t>
  </si>
  <si>
    <t xml:space="preserve">SL 4 note: reserved for catastrophic consequence vs a determined nation-state; judged impractical/disproportionate for a municipal utility this size. SL 3 is the pragmatic ceiling.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</si>
</sst>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10"/>
      <color rgb="FF55607A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E6B34"/>
      <name val="Arial"/>
      <family val="0"/>
      <charset val="1"/>
    </font>
    <font>
      <b val="true"/>
      <sz val="11"/>
      <color rgb="FF8A6D00"/>
      <name val="Arial"/>
      <family val="0"/>
      <charset val="1"/>
    </font>
    <font>
      <b val="true"/>
      <sz val="11"/>
      <color rgb="FF9C4A00"/>
      <name val="Arial"/>
      <family val="0"/>
      <charset val="1"/>
    </font>
    <font>
      <b val="true"/>
      <sz val="11"/>
      <color rgb="FFB00000"/>
      <name val="Arial"/>
      <family val="0"/>
      <charset val="1"/>
    </font>
    <font>
      <b val="true"/>
      <sz val="12"/>
      <color rgb="FF1F3A5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DECEC"/>
      </patternFill>
    </fill>
    <fill>
      <patternFill patternType="solid">
        <fgColor rgb="FFFFC79C"/>
        <bgColor rgb="FFFFB3B3"/>
      </patternFill>
    </fill>
    <fill>
      <patternFill patternType="solid">
        <fgColor rgb="FFFFB3B3"/>
        <bgColor rgb="FFFFC79C"/>
      </patternFill>
    </fill>
    <fill>
      <patternFill patternType="solid">
        <fgColor rgb="FFFDEC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B3B3"/>
          <bgColor rgb="FF000000"/>
        </patternFill>
      </fill>
    </dxf>
    <dxf>
      <fill>
        <patternFill patternType="solid">
          <fgColor rgb="FFFFC7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9C4A00"/>
          <bgColor rgb="FF000000"/>
        </patternFill>
      </fill>
    </dxf>
    <dxf>
      <fill>
        <patternFill patternType="solid">
          <fgColor rgb="FFB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1E6B34"/>
      <rgbColor rgb="FF000080"/>
      <rgbColor rgb="FF8A6D00"/>
      <rgbColor rgb="FF800080"/>
      <rgbColor rgb="FF008080"/>
      <rgbColor rgb="FFB7C0CC"/>
      <rgbColor rgb="FF808080"/>
      <rgbColor rgb="FF9999FF"/>
      <rgbColor rgb="FF993366"/>
      <rgbColor rgb="FFFDEC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B3B3"/>
      <rgbColor rgb="FFCC99FF"/>
      <rgbColor rgb="FFFFC79C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1F3A5F"/>
      <rgbColor rgb="FF339966"/>
      <rgbColor rgb="FF003300"/>
      <rgbColor rgb="FF333300"/>
      <rgbColor rgb="FF9C4A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4" t="s">
        <v>9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10</v>
      </c>
      <c r="B9" s="4"/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5" t="s">
        <v>19</v>
      </c>
      <c r="B15" s="4" t="s">
        <v>20</v>
      </c>
    </row>
    <row r="16" customFormat="false" ht="15" hidden="false" customHeight="false" outlineLevel="0" collapsed="false">
      <c r="A16" s="5" t="s">
        <v>21</v>
      </c>
      <c r="B16" s="4" t="s">
        <v>22</v>
      </c>
    </row>
    <row r="17" customFormat="false" ht="15" hidden="false" customHeight="false" outlineLevel="0" collapsed="false">
      <c r="A17" s="3"/>
      <c r="B17" s="4" t="s">
        <v>23</v>
      </c>
    </row>
    <row r="18" customFormat="false" ht="15" hidden="false" customHeight="false" outlineLevel="0" collapsed="false">
      <c r="A18" s="5" t="s">
        <v>24</v>
      </c>
      <c r="B18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96"/>
  </cols>
  <sheetData>
    <row r="1" customFormat="false" ht="18.5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5" t="s">
        <v>28</v>
      </c>
    </row>
    <row r="5" customFormat="false" ht="15" hidden="false" customHeight="false" outlineLevel="0" collapsed="false">
      <c r="A5" s="6" t="s">
        <v>29</v>
      </c>
      <c r="B5" s="6" t="s">
        <v>30</v>
      </c>
      <c r="C5" s="6" t="s">
        <v>31</v>
      </c>
    </row>
    <row r="6" customFormat="false" ht="15" hidden="false" customHeight="false" outlineLevel="0" collapsed="false">
      <c r="A6" s="7" t="n">
        <v>1</v>
      </c>
      <c r="B6" s="8" t="s">
        <v>32</v>
      </c>
      <c r="C6" s="9" t="s">
        <v>33</v>
      </c>
    </row>
    <row r="7" customFormat="false" ht="15" hidden="false" customHeight="false" outlineLevel="0" collapsed="false">
      <c r="A7" s="7" t="n">
        <v>2</v>
      </c>
      <c r="B7" s="8" t="s">
        <v>34</v>
      </c>
      <c r="C7" s="9" t="s">
        <v>35</v>
      </c>
    </row>
    <row r="8" customFormat="false" ht="28.35" hidden="false" customHeight="false" outlineLevel="0" collapsed="false">
      <c r="A8" s="7" t="n">
        <v>3</v>
      </c>
      <c r="B8" s="8" t="s">
        <v>36</v>
      </c>
      <c r="C8" s="9" t="s">
        <v>37</v>
      </c>
    </row>
    <row r="9" customFormat="false" ht="28.35" hidden="false" customHeight="false" outlineLevel="0" collapsed="false">
      <c r="A9" s="7" t="n">
        <v>4</v>
      </c>
      <c r="B9" s="8" t="s">
        <v>38</v>
      </c>
      <c r="C9" s="9" t="s">
        <v>39</v>
      </c>
    </row>
    <row r="10" customFormat="false" ht="28.35" hidden="false" customHeight="false" outlineLevel="0" collapsed="false">
      <c r="A10" s="7" t="n">
        <v>5</v>
      </c>
      <c r="B10" s="8" t="s">
        <v>40</v>
      </c>
      <c r="C10" s="9" t="s">
        <v>41</v>
      </c>
    </row>
    <row r="12" customFormat="false" ht="15" hidden="false" customHeight="false" outlineLevel="0" collapsed="false">
      <c r="A12" s="5" t="s">
        <v>42</v>
      </c>
    </row>
    <row r="13" customFormat="false" ht="15" hidden="false" customHeight="false" outlineLevel="0" collapsed="false">
      <c r="A13" s="6" t="s">
        <v>29</v>
      </c>
      <c r="B13" s="6" t="s">
        <v>30</v>
      </c>
    </row>
    <row r="14" customFormat="false" ht="39.55" hidden="false" customHeight="false" outlineLevel="0" collapsed="false">
      <c r="A14" s="10" t="n">
        <v>1</v>
      </c>
      <c r="B14" s="11" t="s">
        <v>43</v>
      </c>
    </row>
    <row r="15" customFormat="false" ht="39.55" hidden="false" customHeight="false" outlineLevel="0" collapsed="false">
      <c r="A15" s="10" t="n">
        <v>2</v>
      </c>
      <c r="B15" s="11" t="s">
        <v>44</v>
      </c>
    </row>
    <row r="16" customFormat="false" ht="52.2" hidden="false" customHeight="false" outlineLevel="0" collapsed="false">
      <c r="A16" s="10" t="n">
        <v>3</v>
      </c>
      <c r="B16" s="11" t="s">
        <v>45</v>
      </c>
    </row>
    <row r="17" customFormat="false" ht="52.2" hidden="false" customHeight="false" outlineLevel="0" collapsed="false">
      <c r="A17" s="10" t="n">
        <v>4</v>
      </c>
      <c r="B17" s="11" t="s">
        <v>46</v>
      </c>
    </row>
    <row r="18" customFormat="false" ht="39.55" hidden="false" customHeight="false" outlineLevel="0" collapsed="false">
      <c r="A18" s="10" t="n">
        <v>5</v>
      </c>
      <c r="B18" s="11" t="s">
        <v>47</v>
      </c>
    </row>
    <row r="20" customFormat="false" ht="15" hidden="false" customHeight="false" outlineLevel="0" collapsed="false">
      <c r="A20" s="5" t="s">
        <v>48</v>
      </c>
    </row>
    <row r="21" customFormat="false" ht="15" hidden="false" customHeight="false" outlineLevel="0" collapsed="false">
      <c r="A21" s="6" t="s">
        <v>49</v>
      </c>
      <c r="B21" s="6" t="s">
        <v>50</v>
      </c>
      <c r="C21" s="6" t="s">
        <v>51</v>
      </c>
    </row>
    <row r="22" customFormat="false" ht="15" hidden="false" customHeight="false" outlineLevel="0" collapsed="false">
      <c r="A22" s="12" t="s">
        <v>52</v>
      </c>
      <c r="B22" s="10" t="s">
        <v>53</v>
      </c>
      <c r="C22" s="13" t="s">
        <v>54</v>
      </c>
    </row>
    <row r="23" customFormat="false" ht="15" hidden="false" customHeight="false" outlineLevel="0" collapsed="false">
      <c r="A23" s="14" t="s">
        <v>55</v>
      </c>
      <c r="B23" s="10" t="s">
        <v>56</v>
      </c>
      <c r="C23" s="13" t="s">
        <v>57</v>
      </c>
    </row>
    <row r="24" customFormat="false" ht="15" hidden="false" customHeight="false" outlineLevel="0" collapsed="false">
      <c r="A24" s="15" t="s">
        <v>58</v>
      </c>
      <c r="B24" s="10" t="s">
        <v>59</v>
      </c>
      <c r="C24" s="13" t="s">
        <v>60</v>
      </c>
    </row>
    <row r="25" customFormat="false" ht="15" hidden="false" customHeight="false" outlineLevel="0" collapsed="false">
      <c r="A25" s="16" t="s">
        <v>61</v>
      </c>
      <c r="B25" s="10" t="s">
        <v>62</v>
      </c>
      <c r="C25" s="13" t="s">
        <v>63</v>
      </c>
    </row>
    <row r="27" customFormat="false" ht="15" hidden="false" customHeight="false" outlineLevel="0" collapsed="false">
      <c r="A27" s="5" t="s">
        <v>64</v>
      </c>
    </row>
    <row r="28" customFormat="false" ht="15" hidden="false" customHeight="false" outlineLevel="0" collapsed="false">
      <c r="A28" s="6" t="s">
        <v>65</v>
      </c>
      <c r="B28" s="6" t="s">
        <v>66</v>
      </c>
    </row>
    <row r="29" customFormat="false" ht="26.85" hidden="false" customHeight="false" outlineLevel="0" collapsed="false">
      <c r="A29" s="10" t="n">
        <v>1</v>
      </c>
      <c r="B29" s="11" t="s">
        <v>67</v>
      </c>
    </row>
    <row r="30" customFormat="false" ht="52.2" hidden="false" customHeight="false" outlineLevel="0" collapsed="false">
      <c r="A30" s="10" t="n">
        <v>2</v>
      </c>
      <c r="B30" s="11" t="s">
        <v>68</v>
      </c>
    </row>
    <row r="31" customFormat="false" ht="52.2" hidden="false" customHeight="false" outlineLevel="0" collapsed="false">
      <c r="A31" s="10" t="n">
        <v>3</v>
      </c>
      <c r="B31" s="11" t="s">
        <v>69</v>
      </c>
    </row>
    <row r="32" customFormat="false" ht="52.2" hidden="false" customHeight="false" outlineLevel="0" collapsed="false">
      <c r="A32" s="10" t="n">
        <v>4</v>
      </c>
      <c r="B32" s="11" t="s">
        <v>70</v>
      </c>
    </row>
    <row r="34" customFormat="false" ht="15" hidden="false" customHeight="false" outlineLevel="0" collapsed="false">
      <c r="A34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8.5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6" t="s">
        <v>74</v>
      </c>
      <c r="B4" s="6" t="s">
        <v>75</v>
      </c>
      <c r="C4" s="6" t="s">
        <v>76</v>
      </c>
      <c r="D4" s="6" t="s">
        <v>77</v>
      </c>
      <c r="E4" s="6" t="s">
        <v>78</v>
      </c>
      <c r="F4" s="6" t="s">
        <v>79</v>
      </c>
      <c r="G4" s="6" t="s">
        <v>80</v>
      </c>
      <c r="H4" s="6" t="s">
        <v>81</v>
      </c>
    </row>
    <row r="5" customFormat="false" ht="26.85" hidden="false" customHeight="false" outlineLevel="0" collapsed="false">
      <c r="A5" s="17" t="s">
        <v>82</v>
      </c>
      <c r="B5" s="11" t="s">
        <v>83</v>
      </c>
      <c r="C5" s="18" t="s">
        <v>84</v>
      </c>
      <c r="D5" s="11" t="s">
        <v>85</v>
      </c>
      <c r="E5" s="11" t="s">
        <v>86</v>
      </c>
      <c r="F5" s="18" t="s">
        <v>87</v>
      </c>
      <c r="G5" s="18" t="s">
        <v>87</v>
      </c>
      <c r="H5" s="18" t="s">
        <v>87</v>
      </c>
    </row>
    <row r="6" customFormat="false" ht="39.55" hidden="false" customHeight="false" outlineLevel="0" collapsed="false">
      <c r="A6" s="17" t="s">
        <v>88</v>
      </c>
      <c r="B6" s="11" t="s">
        <v>89</v>
      </c>
      <c r="C6" s="18" t="s">
        <v>90</v>
      </c>
      <c r="D6" s="11" t="s">
        <v>91</v>
      </c>
      <c r="E6" s="11" t="s">
        <v>92</v>
      </c>
      <c r="F6" s="18" t="s">
        <v>93</v>
      </c>
      <c r="G6" s="18" t="s">
        <v>94</v>
      </c>
      <c r="H6" s="18" t="s">
        <v>93</v>
      </c>
    </row>
    <row r="7" customFormat="false" ht="26.85" hidden="false" customHeight="false" outlineLevel="0" collapsed="false">
      <c r="A7" s="17" t="s">
        <v>95</v>
      </c>
      <c r="B7" s="11" t="s">
        <v>96</v>
      </c>
      <c r="C7" s="18" t="s">
        <v>97</v>
      </c>
      <c r="D7" s="11" t="s">
        <v>98</v>
      </c>
      <c r="E7" s="11" t="s">
        <v>99</v>
      </c>
      <c r="F7" s="18" t="s">
        <v>100</v>
      </c>
      <c r="G7" s="18" t="s">
        <v>101</v>
      </c>
      <c r="H7" s="18" t="s">
        <v>101</v>
      </c>
    </row>
    <row r="8" customFormat="false" ht="26.85" hidden="false" customHeight="false" outlineLevel="0" collapsed="false">
      <c r="A8" s="17" t="s">
        <v>102</v>
      </c>
      <c r="B8" s="11" t="s">
        <v>103</v>
      </c>
      <c r="C8" s="18" t="s">
        <v>104</v>
      </c>
      <c r="D8" s="11" t="s">
        <v>105</v>
      </c>
      <c r="E8" s="11" t="s">
        <v>106</v>
      </c>
      <c r="F8" s="18" t="s">
        <v>93</v>
      </c>
      <c r="G8" s="18" t="s">
        <v>101</v>
      </c>
      <c r="H8" s="18" t="s">
        <v>100</v>
      </c>
    </row>
    <row r="9" customFormat="false" ht="26.85" hidden="false" customHeight="false" outlineLevel="0" collapsed="false">
      <c r="A9" s="17" t="s">
        <v>107</v>
      </c>
      <c r="B9" s="11" t="s">
        <v>108</v>
      </c>
      <c r="C9" s="18" t="s">
        <v>109</v>
      </c>
      <c r="D9" s="11" t="s">
        <v>110</v>
      </c>
      <c r="E9" s="11" t="s">
        <v>111</v>
      </c>
      <c r="F9" s="18" t="s">
        <v>100</v>
      </c>
      <c r="G9" s="18" t="s">
        <v>101</v>
      </c>
      <c r="H9" s="18" t="s">
        <v>101</v>
      </c>
    </row>
    <row r="10" customFormat="false" ht="39.55" hidden="false" customHeight="false" outlineLevel="0" collapsed="false">
      <c r="A10" s="19" t="s">
        <v>112</v>
      </c>
      <c r="B10" s="20" t="s">
        <v>113</v>
      </c>
      <c r="C10" s="21" t="s">
        <v>109</v>
      </c>
      <c r="D10" s="20" t="s">
        <v>114</v>
      </c>
      <c r="E10" s="20" t="s">
        <v>115</v>
      </c>
      <c r="F10" s="21" t="s">
        <v>93</v>
      </c>
      <c r="G10" s="21" t="s">
        <v>101</v>
      </c>
      <c r="H10" s="21" t="s">
        <v>100</v>
      </c>
    </row>
    <row r="11" customFormat="false" ht="39.55" hidden="false" customHeight="false" outlineLevel="0" collapsed="false">
      <c r="A11" s="17" t="s">
        <v>116</v>
      </c>
      <c r="B11" s="11" t="s">
        <v>117</v>
      </c>
      <c r="C11" s="18" t="s">
        <v>118</v>
      </c>
      <c r="D11" s="11" t="s">
        <v>119</v>
      </c>
      <c r="E11" s="11" t="s">
        <v>120</v>
      </c>
      <c r="F11" s="18" t="s">
        <v>121</v>
      </c>
      <c r="G11" s="18" t="s">
        <v>122</v>
      </c>
      <c r="H11" s="18" t="s">
        <v>123</v>
      </c>
    </row>
    <row r="13" customFormat="false" ht="15" hidden="false" customHeight="false" outlineLevel="0" collapsed="false">
      <c r="A13" s="22" t="s">
        <v>124</v>
      </c>
    </row>
    <row r="14" customFormat="false" ht="15" hidden="false" customHeight="false" outlineLevel="0" collapsed="false">
      <c r="A14" s="6" t="s">
        <v>125</v>
      </c>
      <c r="B14" s="6" t="s">
        <v>126</v>
      </c>
      <c r="C14" s="6" t="s">
        <v>127</v>
      </c>
      <c r="D14" s="6" t="s">
        <v>128</v>
      </c>
      <c r="E14" s="6" t="s">
        <v>79</v>
      </c>
    </row>
    <row r="15" customFormat="false" ht="90.25" hidden="false" customHeight="false" outlineLevel="0" collapsed="false">
      <c r="A15" s="17" t="s">
        <v>129</v>
      </c>
      <c r="B15" s="11" t="s">
        <v>130</v>
      </c>
      <c r="C15" s="11" t="s">
        <v>131</v>
      </c>
      <c r="D15" s="11" t="s">
        <v>132</v>
      </c>
      <c r="E15" s="18" t="s">
        <v>93</v>
      </c>
    </row>
    <row r="16" customFormat="false" ht="102.95" hidden="false" customHeight="false" outlineLevel="0" collapsed="false">
      <c r="A16" s="17" t="s">
        <v>133</v>
      </c>
      <c r="B16" s="11" t="s">
        <v>134</v>
      </c>
      <c r="C16" s="11" t="s">
        <v>135</v>
      </c>
      <c r="D16" s="11" t="s">
        <v>136</v>
      </c>
      <c r="E16" s="18" t="s">
        <v>93</v>
      </c>
    </row>
    <row r="17" customFormat="false" ht="90.25" hidden="false" customHeight="false" outlineLevel="0" collapsed="false">
      <c r="A17" s="17" t="s">
        <v>137</v>
      </c>
      <c r="B17" s="11" t="s">
        <v>138</v>
      </c>
      <c r="C17" s="11" t="s">
        <v>139</v>
      </c>
      <c r="D17" s="11" t="s">
        <v>140</v>
      </c>
      <c r="E17" s="18" t="s">
        <v>100</v>
      </c>
    </row>
    <row r="18" customFormat="false" ht="102.95" hidden="false" customHeight="false" outlineLevel="0" collapsed="false">
      <c r="A18" s="17" t="s">
        <v>141</v>
      </c>
      <c r="B18" s="11" t="s">
        <v>142</v>
      </c>
      <c r="C18" s="11" t="s">
        <v>143</v>
      </c>
      <c r="D18" s="11" t="s">
        <v>144</v>
      </c>
      <c r="E18" s="18" t="s">
        <v>100</v>
      </c>
    </row>
    <row r="19" customFormat="false" ht="77.6" hidden="false" customHeight="false" outlineLevel="0" collapsed="false">
      <c r="A19" s="17" t="s">
        <v>145</v>
      </c>
      <c r="B19" s="11" t="s">
        <v>146</v>
      </c>
      <c r="C19" s="11" t="s">
        <v>147</v>
      </c>
      <c r="D19" s="11" t="s">
        <v>148</v>
      </c>
      <c r="E19" s="18" t="s">
        <v>93</v>
      </c>
    </row>
    <row r="20" customFormat="false" ht="77.6" hidden="false" customHeight="false" outlineLevel="0" collapsed="false">
      <c r="A20" s="17" t="s">
        <v>149</v>
      </c>
      <c r="B20" s="11" t="s">
        <v>150</v>
      </c>
      <c r="C20" s="11" t="s">
        <v>151</v>
      </c>
      <c r="D20" s="11" t="s">
        <v>152</v>
      </c>
      <c r="E20" s="18" t="s">
        <v>93</v>
      </c>
    </row>
    <row r="21" customFormat="false" ht="77.6" hidden="false" customHeight="false" outlineLevel="0" collapsed="false">
      <c r="A21" s="17" t="s">
        <v>153</v>
      </c>
      <c r="B21" s="11" t="s">
        <v>154</v>
      </c>
      <c r="C21" s="11" t="s">
        <v>155</v>
      </c>
      <c r="D21" s="11" t="s">
        <v>156</v>
      </c>
      <c r="E21" s="18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4"/>
    <col collapsed="false" customWidth="true" hidden="false" outlineLevel="0" max="7" min="7" style="0" width="5"/>
    <col collapsed="false" customWidth="true" hidden="false" outlineLevel="0" max="8" min="8" style="0" width="9"/>
    <col collapsed="false" customWidth="true" hidden="false" outlineLevel="0" max="9" min="9" style="0" width="34"/>
    <col collapsed="false" customWidth="true" hidden="false" outlineLevel="0" max="10" min="10" style="0" width="5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30"/>
  </cols>
  <sheetData>
    <row r="1" customFormat="false" ht="18.5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26.85" hidden="false" customHeight="false" outlineLevel="0" collapsed="false">
      <c r="A4" s="6" t="s">
        <v>159</v>
      </c>
      <c r="B4" s="6" t="s">
        <v>160</v>
      </c>
      <c r="C4" s="6" t="s">
        <v>161</v>
      </c>
      <c r="D4" s="6" t="s">
        <v>162</v>
      </c>
      <c r="E4" s="6" t="s">
        <v>163</v>
      </c>
      <c r="F4" s="6" t="s">
        <v>164</v>
      </c>
      <c r="G4" s="6" t="s">
        <v>165</v>
      </c>
      <c r="H4" s="6" t="s">
        <v>166</v>
      </c>
      <c r="I4" s="6" t="s">
        <v>167</v>
      </c>
      <c r="J4" s="6" t="s">
        <v>168</v>
      </c>
      <c r="K4" s="6" t="s">
        <v>169</v>
      </c>
      <c r="L4" s="6" t="s">
        <v>79</v>
      </c>
      <c r="M4" s="6" t="s">
        <v>170</v>
      </c>
    </row>
    <row r="5" customFormat="false" ht="39.55" hidden="false" customHeight="false" outlineLevel="0" collapsed="false">
      <c r="A5" s="8" t="s">
        <v>171</v>
      </c>
      <c r="B5" s="11" t="s">
        <v>172</v>
      </c>
      <c r="C5" s="18" t="s">
        <v>173</v>
      </c>
      <c r="D5" s="18" t="s">
        <v>174</v>
      </c>
      <c r="E5" s="11" t="s">
        <v>175</v>
      </c>
      <c r="F5" s="10" t="n">
        <v>4</v>
      </c>
      <c r="G5" s="10" t="n">
        <v>4</v>
      </c>
      <c r="H5" s="16" t="n">
        <f aca="false">F5*G5</f>
        <v>16</v>
      </c>
      <c r="I5" s="11" t="s">
        <v>176</v>
      </c>
      <c r="J5" s="10" t="n">
        <v>3</v>
      </c>
      <c r="K5" s="15" t="n">
        <f aca="false">F5*J5</f>
        <v>12</v>
      </c>
      <c r="L5" s="10" t="s">
        <v>93</v>
      </c>
      <c r="M5" s="11" t="s">
        <v>177</v>
      </c>
    </row>
    <row r="6" customFormat="false" ht="39.55" hidden="false" customHeight="false" outlineLevel="0" collapsed="false">
      <c r="A6" s="8" t="s">
        <v>178</v>
      </c>
      <c r="B6" s="11" t="s">
        <v>179</v>
      </c>
      <c r="C6" s="18" t="s">
        <v>180</v>
      </c>
      <c r="D6" s="18" t="s">
        <v>181</v>
      </c>
      <c r="E6" s="11" t="s">
        <v>182</v>
      </c>
      <c r="F6" s="10" t="n">
        <v>4</v>
      </c>
      <c r="G6" s="10" t="n">
        <v>3</v>
      </c>
      <c r="H6" s="15" t="n">
        <f aca="false">F6*G6</f>
        <v>12</v>
      </c>
      <c r="I6" s="11" t="s">
        <v>183</v>
      </c>
      <c r="J6" s="10" t="n">
        <v>3</v>
      </c>
      <c r="K6" s="15" t="n">
        <f aca="false">F6*J6</f>
        <v>12</v>
      </c>
      <c r="L6" s="10" t="s">
        <v>93</v>
      </c>
      <c r="M6" s="11" t="s">
        <v>184</v>
      </c>
    </row>
    <row r="7" customFormat="false" ht="39.55" hidden="false" customHeight="false" outlineLevel="0" collapsed="false">
      <c r="A7" s="8" t="s">
        <v>185</v>
      </c>
      <c r="B7" s="11" t="s">
        <v>186</v>
      </c>
      <c r="C7" s="18" t="s">
        <v>187</v>
      </c>
      <c r="D7" s="18" t="s">
        <v>188</v>
      </c>
      <c r="E7" s="11" t="s">
        <v>189</v>
      </c>
      <c r="F7" s="10" t="n">
        <v>4</v>
      </c>
      <c r="G7" s="10" t="n">
        <v>4</v>
      </c>
      <c r="H7" s="16" t="n">
        <f aca="false">F7*G7</f>
        <v>16</v>
      </c>
      <c r="I7" s="11" t="s">
        <v>190</v>
      </c>
      <c r="J7" s="10" t="n">
        <v>3</v>
      </c>
      <c r="K7" s="15" t="n">
        <f aca="false">F7*J7</f>
        <v>12</v>
      </c>
      <c r="L7" s="10" t="s">
        <v>93</v>
      </c>
      <c r="M7" s="11" t="s">
        <v>191</v>
      </c>
    </row>
    <row r="8" customFormat="false" ht="39.55" hidden="false" customHeight="false" outlineLevel="0" collapsed="false">
      <c r="A8" s="8" t="s">
        <v>192</v>
      </c>
      <c r="B8" s="11" t="s">
        <v>193</v>
      </c>
      <c r="C8" s="18" t="s">
        <v>112</v>
      </c>
      <c r="D8" s="18" t="s">
        <v>194</v>
      </c>
      <c r="E8" s="11" t="s">
        <v>195</v>
      </c>
      <c r="F8" s="10" t="n">
        <v>5</v>
      </c>
      <c r="G8" s="10" t="n">
        <v>3</v>
      </c>
      <c r="H8" s="15" t="n">
        <f aca="false">F8*G8</f>
        <v>15</v>
      </c>
      <c r="I8" s="11" t="s">
        <v>196</v>
      </c>
      <c r="J8" s="10" t="n">
        <v>2</v>
      </c>
      <c r="K8" s="14" t="n">
        <f aca="false">F8*J8</f>
        <v>10</v>
      </c>
      <c r="L8" s="10" t="s">
        <v>93</v>
      </c>
      <c r="M8" s="11" t="s">
        <v>197</v>
      </c>
    </row>
    <row r="9" customFormat="false" ht="52.2" hidden="false" customHeight="false" outlineLevel="0" collapsed="false">
      <c r="A9" s="8" t="s">
        <v>198</v>
      </c>
      <c r="B9" s="11" t="s">
        <v>199</v>
      </c>
      <c r="C9" s="18" t="s">
        <v>102</v>
      </c>
      <c r="D9" s="18" t="s">
        <v>200</v>
      </c>
      <c r="E9" s="11" t="s">
        <v>201</v>
      </c>
      <c r="F9" s="10" t="n">
        <v>3</v>
      </c>
      <c r="G9" s="10" t="n">
        <v>4</v>
      </c>
      <c r="H9" s="15" t="n">
        <f aca="false">F9*G9</f>
        <v>12</v>
      </c>
      <c r="I9" s="11" t="s">
        <v>202</v>
      </c>
      <c r="J9" s="10" t="n">
        <v>3</v>
      </c>
      <c r="K9" s="14" t="n">
        <f aca="false">F9*J9</f>
        <v>9</v>
      </c>
      <c r="L9" s="10" t="s">
        <v>93</v>
      </c>
      <c r="M9" s="11" t="s">
        <v>203</v>
      </c>
    </row>
    <row r="10" customFormat="false" ht="52.2" hidden="false" customHeight="false" outlineLevel="0" collapsed="false">
      <c r="A10" s="8" t="s">
        <v>204</v>
      </c>
      <c r="B10" s="11" t="s">
        <v>205</v>
      </c>
      <c r="C10" s="18" t="s">
        <v>206</v>
      </c>
      <c r="D10" s="18" t="s">
        <v>207</v>
      </c>
      <c r="E10" s="11" t="s">
        <v>208</v>
      </c>
      <c r="F10" s="10" t="n">
        <v>4</v>
      </c>
      <c r="G10" s="10" t="n">
        <v>3</v>
      </c>
      <c r="H10" s="15" t="n">
        <f aca="false">F10*G10</f>
        <v>12</v>
      </c>
      <c r="I10" s="11" t="s">
        <v>209</v>
      </c>
      <c r="J10" s="10" t="n">
        <v>3</v>
      </c>
      <c r="K10" s="15" t="n">
        <f aca="false">F10*J10</f>
        <v>12</v>
      </c>
      <c r="L10" s="10" t="s">
        <v>100</v>
      </c>
      <c r="M10" s="11" t="s">
        <v>210</v>
      </c>
    </row>
    <row r="11" customFormat="false" ht="39.55" hidden="false" customHeight="false" outlineLevel="0" collapsed="false">
      <c r="A11" s="8" t="s">
        <v>211</v>
      </c>
      <c r="B11" s="11" t="s">
        <v>212</v>
      </c>
      <c r="C11" s="18" t="s">
        <v>116</v>
      </c>
      <c r="D11" s="18" t="s">
        <v>213</v>
      </c>
      <c r="E11" s="11" t="s">
        <v>214</v>
      </c>
      <c r="F11" s="10" t="n">
        <v>4</v>
      </c>
      <c r="G11" s="10" t="n">
        <v>4</v>
      </c>
      <c r="H11" s="16" t="n">
        <f aca="false">F11*G11</f>
        <v>16</v>
      </c>
      <c r="I11" s="11" t="s">
        <v>215</v>
      </c>
      <c r="J11" s="10" t="n">
        <v>3</v>
      </c>
      <c r="K11" s="15" t="n">
        <f aca="false">F11*J11</f>
        <v>12</v>
      </c>
      <c r="L11" s="10" t="s">
        <v>93</v>
      </c>
      <c r="M11" s="11" t="s">
        <v>216</v>
      </c>
    </row>
    <row r="12" customFormat="false" ht="39.55" hidden="false" customHeight="false" outlineLevel="0" collapsed="false">
      <c r="A12" s="8" t="s">
        <v>217</v>
      </c>
      <c r="B12" s="11" t="s">
        <v>218</v>
      </c>
      <c r="C12" s="18" t="s">
        <v>219</v>
      </c>
      <c r="D12" s="18" t="s">
        <v>220</v>
      </c>
      <c r="E12" s="11" t="s">
        <v>221</v>
      </c>
      <c r="F12" s="10" t="n">
        <v>4</v>
      </c>
      <c r="G12" s="10" t="n">
        <v>3</v>
      </c>
      <c r="H12" s="15" t="n">
        <f aca="false">F12*G12</f>
        <v>12</v>
      </c>
      <c r="I12" s="11" t="s">
        <v>222</v>
      </c>
      <c r="J12" s="10" t="n">
        <v>3</v>
      </c>
      <c r="K12" s="15" t="n">
        <f aca="false">F12*J12</f>
        <v>12</v>
      </c>
      <c r="L12" s="10" t="s">
        <v>100</v>
      </c>
      <c r="M12" s="11" t="s">
        <v>223</v>
      </c>
    </row>
    <row r="13" customFormat="false" ht="39.55" hidden="false" customHeight="false" outlineLevel="0" collapsed="false">
      <c r="A13" s="8" t="s">
        <v>224</v>
      </c>
      <c r="B13" s="11" t="s">
        <v>225</v>
      </c>
      <c r="C13" s="18" t="s">
        <v>107</v>
      </c>
      <c r="D13" s="18" t="s">
        <v>226</v>
      </c>
      <c r="E13" s="11" t="s">
        <v>227</v>
      </c>
      <c r="F13" s="10" t="n">
        <v>3</v>
      </c>
      <c r="G13" s="10" t="n">
        <v>3</v>
      </c>
      <c r="H13" s="14" t="n">
        <f aca="false">F13*G13</f>
        <v>9</v>
      </c>
      <c r="I13" s="11" t="s">
        <v>228</v>
      </c>
      <c r="J13" s="10" t="n">
        <v>3</v>
      </c>
      <c r="K13" s="14" t="n">
        <f aca="false">F13*J13</f>
        <v>9</v>
      </c>
      <c r="L13" s="10" t="s">
        <v>229</v>
      </c>
      <c r="M13" s="11" t="s">
        <v>230</v>
      </c>
    </row>
    <row r="14" customFormat="false" ht="39.55" hidden="false" customHeight="false" outlineLevel="0" collapsed="false">
      <c r="A14" s="8" t="s">
        <v>231</v>
      </c>
      <c r="B14" s="11" t="s">
        <v>232</v>
      </c>
      <c r="C14" s="18" t="s">
        <v>233</v>
      </c>
      <c r="D14" s="18" t="s">
        <v>234</v>
      </c>
      <c r="E14" s="11" t="s">
        <v>235</v>
      </c>
      <c r="F14" s="10" t="n">
        <v>4</v>
      </c>
      <c r="G14" s="10" t="n">
        <v>4</v>
      </c>
      <c r="H14" s="16" t="n">
        <f aca="false">F14*G14</f>
        <v>16</v>
      </c>
      <c r="I14" s="11" t="s">
        <v>236</v>
      </c>
      <c r="J14" s="10" t="n">
        <v>3</v>
      </c>
      <c r="K14" s="15" t="n">
        <f aca="false">F14*J14</f>
        <v>12</v>
      </c>
      <c r="L14" s="10" t="s">
        <v>237</v>
      </c>
      <c r="M14" s="11" t="s">
        <v>238</v>
      </c>
    </row>
    <row r="15" customFormat="false" ht="39.55" hidden="false" customHeight="false" outlineLevel="0" collapsed="false">
      <c r="A15" s="8" t="s">
        <v>239</v>
      </c>
      <c r="B15" s="11" t="s">
        <v>240</v>
      </c>
      <c r="C15" s="18" t="s">
        <v>116</v>
      </c>
      <c r="D15" s="18" t="s">
        <v>241</v>
      </c>
      <c r="E15" s="11" t="s">
        <v>242</v>
      </c>
      <c r="F15" s="10" t="n">
        <v>3</v>
      </c>
      <c r="G15" s="10" t="n">
        <v>3</v>
      </c>
      <c r="H15" s="14" t="n">
        <f aca="false">F15*G15</f>
        <v>9</v>
      </c>
      <c r="I15" s="11" t="s">
        <v>243</v>
      </c>
      <c r="J15" s="10" t="n">
        <v>2</v>
      </c>
      <c r="K15" s="14" t="n">
        <f aca="false">F15*J15</f>
        <v>6</v>
      </c>
      <c r="L15" s="10" t="s">
        <v>100</v>
      </c>
      <c r="M15" s="11" t="s">
        <v>244</v>
      </c>
    </row>
    <row r="16" customFormat="false" ht="39.55" hidden="false" customHeight="false" outlineLevel="0" collapsed="false">
      <c r="A16" s="8" t="s">
        <v>245</v>
      </c>
      <c r="B16" s="11" t="s">
        <v>246</v>
      </c>
      <c r="C16" s="18" t="s">
        <v>233</v>
      </c>
      <c r="D16" s="18" t="s">
        <v>181</v>
      </c>
      <c r="E16" s="11" t="s">
        <v>247</v>
      </c>
      <c r="F16" s="10" t="n">
        <v>4</v>
      </c>
      <c r="G16" s="10" t="n">
        <v>4</v>
      </c>
      <c r="H16" s="16" t="n">
        <f aca="false">F16*G16</f>
        <v>16</v>
      </c>
      <c r="I16" s="11" t="s">
        <v>248</v>
      </c>
      <c r="J16" s="10" t="n">
        <v>3</v>
      </c>
      <c r="K16" s="15" t="n">
        <f aca="false">F16*J16</f>
        <v>12</v>
      </c>
      <c r="L16" s="10" t="s">
        <v>249</v>
      </c>
      <c r="M16" s="11" t="s">
        <v>250</v>
      </c>
    </row>
    <row r="17" customFormat="false" ht="39.55" hidden="false" customHeight="false" outlineLevel="0" collapsed="false">
      <c r="A17" s="8" t="s">
        <v>251</v>
      </c>
      <c r="B17" s="11" t="s">
        <v>252</v>
      </c>
      <c r="C17" s="18" t="s">
        <v>102</v>
      </c>
      <c r="D17" s="18" t="s">
        <v>253</v>
      </c>
      <c r="E17" s="11" t="s">
        <v>201</v>
      </c>
      <c r="F17" s="10" t="n">
        <v>4</v>
      </c>
      <c r="G17" s="10" t="n">
        <v>3</v>
      </c>
      <c r="H17" s="15" t="n">
        <f aca="false">F17*G17</f>
        <v>12</v>
      </c>
      <c r="I17" s="11" t="s">
        <v>254</v>
      </c>
      <c r="J17" s="10" t="n">
        <v>3</v>
      </c>
      <c r="K17" s="15" t="n">
        <f aca="false">F17*J17</f>
        <v>12</v>
      </c>
      <c r="L17" s="10" t="s">
        <v>93</v>
      </c>
      <c r="M17" s="11" t="s">
        <v>255</v>
      </c>
    </row>
    <row r="18" customFormat="false" ht="52.2" hidden="false" customHeight="false" outlineLevel="0" collapsed="false">
      <c r="A18" s="8" t="s">
        <v>256</v>
      </c>
      <c r="B18" s="11" t="s">
        <v>257</v>
      </c>
      <c r="C18" s="18" t="s">
        <v>258</v>
      </c>
      <c r="D18" s="18" t="s">
        <v>259</v>
      </c>
      <c r="E18" s="11" t="s">
        <v>260</v>
      </c>
      <c r="F18" s="10" t="n">
        <v>5</v>
      </c>
      <c r="G18" s="10" t="n">
        <v>2</v>
      </c>
      <c r="H18" s="14" t="n">
        <f aca="false">F18*G18</f>
        <v>10</v>
      </c>
      <c r="I18" s="11" t="s">
        <v>261</v>
      </c>
      <c r="J18" s="10" t="n">
        <v>2</v>
      </c>
      <c r="K18" s="14" t="n">
        <f aca="false">F18*J18</f>
        <v>10</v>
      </c>
      <c r="L18" s="10" t="s">
        <v>93</v>
      </c>
      <c r="M18" s="11" t="s">
        <v>262</v>
      </c>
    </row>
  </sheetData>
  <autoFilter ref="A4:M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" t="s">
        <v>264</v>
      </c>
    </row>
    <row r="4" customFormat="false" ht="15" hidden="false" customHeight="false" outlineLevel="0" collapsed="false">
      <c r="A4" s="6" t="s">
        <v>74</v>
      </c>
      <c r="B4" s="6" t="s">
        <v>75</v>
      </c>
      <c r="C4" s="6" t="s">
        <v>265</v>
      </c>
      <c r="D4" s="6" t="s">
        <v>266</v>
      </c>
      <c r="E4" s="6" t="s">
        <v>81</v>
      </c>
      <c r="F4" s="6" t="s">
        <v>267</v>
      </c>
    </row>
    <row r="5" customFormat="false" ht="15" hidden="false" customHeight="false" outlineLevel="0" collapsed="false">
      <c r="A5" s="17" t="s">
        <v>88</v>
      </c>
      <c r="B5" s="11" t="s">
        <v>89</v>
      </c>
      <c r="C5" s="18" t="s">
        <v>93</v>
      </c>
      <c r="D5" s="18" t="s">
        <v>94</v>
      </c>
      <c r="E5" s="18" t="s">
        <v>93</v>
      </c>
      <c r="F5" s="11" t="s">
        <v>268</v>
      </c>
    </row>
    <row r="6" customFormat="false" ht="15" hidden="false" customHeight="false" outlineLevel="0" collapsed="false">
      <c r="A6" s="17" t="s">
        <v>95</v>
      </c>
      <c r="B6" s="11" t="s">
        <v>96</v>
      </c>
      <c r="C6" s="18" t="s">
        <v>100</v>
      </c>
      <c r="D6" s="18" t="s">
        <v>101</v>
      </c>
      <c r="E6" s="18" t="s">
        <v>101</v>
      </c>
      <c r="F6" s="11" t="s">
        <v>269</v>
      </c>
    </row>
    <row r="7" customFormat="false" ht="15" hidden="false" customHeight="false" outlineLevel="0" collapsed="false">
      <c r="A7" s="17" t="s">
        <v>102</v>
      </c>
      <c r="B7" s="11" t="s">
        <v>103</v>
      </c>
      <c r="C7" s="18" t="s">
        <v>93</v>
      </c>
      <c r="D7" s="18" t="s">
        <v>101</v>
      </c>
      <c r="E7" s="18" t="s">
        <v>100</v>
      </c>
      <c r="F7" s="11" t="s">
        <v>270</v>
      </c>
    </row>
    <row r="8" customFormat="false" ht="15" hidden="false" customHeight="false" outlineLevel="0" collapsed="false">
      <c r="A8" s="17" t="s">
        <v>107</v>
      </c>
      <c r="B8" s="11" t="s">
        <v>108</v>
      </c>
      <c r="C8" s="18" t="s">
        <v>100</v>
      </c>
      <c r="D8" s="18" t="s">
        <v>101</v>
      </c>
      <c r="E8" s="18" t="s">
        <v>101</v>
      </c>
      <c r="F8" s="11" t="s">
        <v>271</v>
      </c>
    </row>
    <row r="9" customFormat="false" ht="26.85" hidden="false" customHeight="false" outlineLevel="0" collapsed="false">
      <c r="A9" s="19" t="s">
        <v>112</v>
      </c>
      <c r="B9" s="20" t="s">
        <v>113</v>
      </c>
      <c r="C9" s="21" t="s">
        <v>93</v>
      </c>
      <c r="D9" s="21" t="s">
        <v>101</v>
      </c>
      <c r="E9" s="21" t="s">
        <v>100</v>
      </c>
      <c r="F9" s="20" t="s">
        <v>272</v>
      </c>
    </row>
    <row r="10" customFormat="false" ht="26.85" hidden="false" customHeight="false" outlineLevel="0" collapsed="false">
      <c r="A10" s="17" t="s">
        <v>116</v>
      </c>
      <c r="B10" s="11" t="s">
        <v>117</v>
      </c>
      <c r="C10" s="18" t="s">
        <v>121</v>
      </c>
      <c r="D10" s="18" t="s">
        <v>122</v>
      </c>
      <c r="E10" s="18" t="s">
        <v>123</v>
      </c>
      <c r="F10" s="11" t="s">
        <v>273</v>
      </c>
    </row>
    <row r="12" customFormat="false" ht="15" hidden="false" customHeight="false" outlineLevel="0" collapsed="false">
      <c r="A12" s="23" t="s">
        <v>274</v>
      </c>
      <c r="B12" s="23"/>
      <c r="C12" s="23"/>
      <c r="D12" s="23"/>
      <c r="E12" s="23"/>
      <c r="F12" s="23"/>
    </row>
  </sheetData>
  <mergeCells count="1"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2026-07-12T06:36:28Z</dcterms:created>
  <dc:creator>openpyxl</dc:creator>
  <dc:description/>
  <dc:language>en-US</dc:language>
  <cp:lastModifiedBy/>
  <dcterms:modified xsi:type="dcterms:W3CDTF">2026-07-12T06:36:28Z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