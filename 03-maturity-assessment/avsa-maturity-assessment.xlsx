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orecard" sheetId="2" state="visible" r:id="rId4"/>
    <sheet name="Gap Analysis" sheetId="3" state="visible" r:id="rId5"/>
    <sheet name="Roadm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<sst xmlns="http://schemas.openxmlformats.org/spreadsheetml/2006/main" count="195" uniqueCount="141">
  <si>
    <t xml:space="preserve">AVSA OT Cybersecurity Maturity Assessment</t>
  </si>
  <si>
    <t xml:space="preserve">C2M2 v2.1 . fictional scenario for portfolio demonstration . no real client data</t>
  </si>
  <si>
    <t xml:space="preserve">Organization</t>
  </si>
  <si>
    <t xml:space="preserve">Aguas de Valdenor, S.A. (AVSA), fictional municipal water utility in northern Spain.</t>
  </si>
  <si>
    <t xml:space="preserve">Model</t>
  </si>
  <si>
    <t xml:space="preserve">DOE Cybersecurity Capability Maturity Model (C2M2) v2.1, MIL 0 to 3.</t>
  </si>
  <si>
    <t xml:space="preserve">Relationship to Phase 2</t>
  </si>
  <si>
    <t xml:space="preserve">Complements the IEC 62443 risk assessment. Risk assessment finds the holes; this measures the capability to manage them.</t>
  </si>
  <si>
    <t xml:space="preserve">Tabs</t>
  </si>
  <si>
    <t xml:space="preserve">  Scorecard</t>
  </si>
  <si>
    <t xml:space="preserve">Current vs risk-informed target MIL for each of the 10 domains, with the gap.</t>
  </si>
  <si>
    <t xml:space="preserve">  Gap Analysis</t>
  </si>
  <si>
    <t xml:space="preserve">What is missing to close each gap, and the roadmap items that address it.</t>
  </si>
  <si>
    <t xml:space="preserve">  Roadmap</t>
  </si>
  <si>
    <t xml:space="preserve">14 initiatives across three horizons, tied to the risks (R-01..R-14) they close.</t>
  </si>
  <si>
    <t xml:space="preserve">MIL scale</t>
  </si>
  <si>
    <t xml:space="preserve">MIL0 not performed . MIL1 ad hoc . MIL2 documented and resourced . MIL3 governed, reviewed, improved.</t>
  </si>
  <si>
    <t xml:space="preserve">Targets</t>
  </si>
  <si>
    <t xml:space="preserve">Risk-informed, not uniformly MIL3. Effort is aimed at the domains tied to AVSA's biggest risks.</t>
  </si>
  <si>
    <t xml:space="preserve">Disclaimer</t>
  </si>
  <si>
    <t xml:space="preserve">Fictional organization. Public frameworks only. No client data or confidential material. C2M2 summarized and applied, not quoted.</t>
  </si>
  <si>
    <t xml:space="preserve">C2M2 Maturity Scorecard</t>
  </si>
  <si>
    <t xml:space="preserve">Current vs risk-informed target MIL per domain. Gap = Target - Current (calculated).</t>
  </si>
  <si>
    <t xml:space="preserve">#</t>
  </si>
  <si>
    <t xml:space="preserve">Domain</t>
  </si>
  <si>
    <t xml:space="preserve">Current (MIL)</t>
  </si>
  <si>
    <t xml:space="preserve">Target (MIL)</t>
  </si>
  <si>
    <t xml:space="preserve">Gap</t>
  </si>
  <si>
    <t xml:space="preserve">Basis for current score</t>
  </si>
  <si>
    <t xml:space="preserve">Asset, Change &amp; Configuration Management</t>
  </si>
  <si>
    <t xml:space="preserve">Inventory exists but is a 2024 spreadsheet (W-06); no change/config management or discovery.</t>
  </si>
  <si>
    <t xml:space="preserve">Threat &amp; Vulnerability Management</t>
  </si>
  <si>
    <t xml:space="preserve">No OT vulnerability process or threat-intel use; patching vendor-locked/ad hoc (W-04).</t>
  </si>
  <si>
    <t xml:space="preserve">Risk Management</t>
  </si>
  <si>
    <t xml:space="preserve">No risk program pre-assessment; risk treated as plant maintenance. NIS2 core.</t>
  </si>
  <si>
    <t xml:space="preserve">Identity &amp; Access Management</t>
  </si>
  <si>
    <t xml:space="preserve">Shared vendor VPN account, no MFA (W-02); default RTU credentials (W-09). Access not attributable.</t>
  </si>
  <si>
    <t xml:space="preserve">Situational Awareness</t>
  </si>
  <si>
    <t xml:space="preserve">24/7 control room gives operational monitoring; no security logging/SIEM for OT.</t>
  </si>
  <si>
    <t xml:space="preserve">Event &amp; Incident Response, Continuity</t>
  </si>
  <si>
    <t xml:space="preserve">IT IR plan exists but excludes the plant; no OT playbooks, roles, or exercises (W-08).</t>
  </si>
  <si>
    <t xml:space="preserve">Third-Party Risk Management</t>
  </si>
  <si>
    <t xml:space="preserve">No security requirements on Nortec and no review of its access or practices.</t>
  </si>
  <si>
    <t xml:space="preserve">Workforce Management</t>
  </si>
  <si>
    <t xml:space="preserve">Security is part-time IT-manager responsibility; no OT security roles or training.</t>
  </si>
  <si>
    <t xml:space="preserve">Cybersecurity Architecture</t>
  </si>
  <si>
    <t xml:space="preserve">Flat network, no OT DMZ, no segmentation (AO-1, AO-2, AO-3). The structural finding.</t>
  </si>
  <si>
    <t xml:space="preserve">Cybersecurity Program Management</t>
  </si>
  <si>
    <t xml:space="preserve">No governed OT security program, sponsorship, or strategy. Security treated as maintenance.</t>
  </si>
  <si>
    <t xml:space="preserve">Average current MIL is about 0.4. Biggest gaps (3): Risk Management, Identity &amp; Access, Cybersecurity Architecture.</t>
  </si>
  <si>
    <t xml:space="preserve">Gap Analysis</t>
  </si>
  <si>
    <t xml:space="preserve">Current</t>
  </si>
  <si>
    <t xml:space="preserve">Target</t>
  </si>
  <si>
    <t xml:space="preserve">What is missing to close it</t>
  </si>
  <si>
    <t xml:space="preserve">Roadmap</t>
  </si>
  <si>
    <t xml:space="preserve">A maintained inventory with assigned ownership, plus change and configuration management for OT.</t>
  </si>
  <si>
    <t xml:space="preserve">RM-04, RM-05, RM-10</t>
  </si>
  <si>
    <t xml:space="preserve">A basic OT vulnerability process, threat-intel use, and compensating controls for the Windows 7 HMIs.</t>
  </si>
  <si>
    <t xml:space="preserve">RM-12</t>
  </si>
  <si>
    <t xml:space="preserve">A documented, owned, policy-governed risk process reviewed on a cycle (this assessment is the start).</t>
  </si>
  <si>
    <t xml:space="preserve">RM-10</t>
  </si>
  <si>
    <t xml:space="preserve">Uniquely attributable access, MFA, least privilege, and periodic access review.</t>
  </si>
  <si>
    <t xml:space="preserve">RM-01, RM-02, RM-08</t>
  </si>
  <si>
    <t xml:space="preserve">Security logging and monitoring for OT beyond the operational control-room view.</t>
  </si>
  <si>
    <t xml:space="preserve">RM-14</t>
  </si>
  <si>
    <t xml:space="preserve">An OT-specific IR plan with roles, resourcing, regular exercises, and improvement.</t>
  </si>
  <si>
    <t xml:space="preserve">RM-03</t>
  </si>
  <si>
    <t xml:space="preserve">Security requirements in supplier contracts, a vendor questionnaire, and periodic review.</t>
  </si>
  <si>
    <t xml:space="preserve">RM-11</t>
  </si>
  <si>
    <t xml:space="preserve">Defined OT security roles and role-based OT security training.</t>
  </si>
  <si>
    <t xml:space="preserve">RM-13</t>
  </si>
  <si>
    <t xml:space="preserve">An OT DMZ, segmentation into zones with enforced conduits, and governed architecture standards.</t>
  </si>
  <si>
    <t xml:space="preserve">RM-06, RM-07, RM-08, RM-09</t>
  </si>
  <si>
    <t xml:space="preserve">A governed OT security program with sponsorship, scope, roles, and strategy.</t>
  </si>
  <si>
    <t xml:space="preserve">Remediation Roadmap</t>
  </si>
  <si>
    <t xml:space="preserve">14 initiatives, sequenced by horizon. Each tied to the risks (R-01..R-14) it closes and the domains it lifts.</t>
  </si>
  <si>
    <t xml:space="preserve">ID</t>
  </si>
  <si>
    <t xml:space="preserve">Initiative</t>
  </si>
  <si>
    <t xml:space="preserve">Horizon</t>
  </si>
  <si>
    <t xml:space="preserve">Effort</t>
  </si>
  <si>
    <t xml:space="preserve">Impact</t>
  </si>
  <si>
    <t xml:space="preserve">Risks addressed</t>
  </si>
  <si>
    <t xml:space="preserve">Domain lift</t>
  </si>
  <si>
    <t xml:space="preserve">RM-01</t>
  </si>
  <si>
    <t xml:space="preserve">Remove default credentials on all remote RTUs; set unique per-device credentials</t>
  </si>
  <si>
    <t xml:space="preserve">Quick win (0-3 mo)</t>
  </si>
  <si>
    <t xml:space="preserve">Low</t>
  </si>
  <si>
    <t xml:space="preserve">High</t>
  </si>
  <si>
    <t xml:space="preserve">R-07</t>
  </si>
  <si>
    <t xml:space="preserve">ACCESS to MIL1</t>
  </si>
  <si>
    <t xml:space="preserve">RM-02</t>
  </si>
  <si>
    <t xml:space="preserve">Replace the shared Nortec VPN account with named identities and MFA; remove standing access</t>
  </si>
  <si>
    <t xml:space="preserve">Low-Med</t>
  </si>
  <si>
    <t xml:space="preserve">R-03</t>
  </si>
  <si>
    <t xml:space="preserve">ACCESS to MIL1-2</t>
  </si>
  <si>
    <t xml:space="preserve">Write and adopt an OT-specific incident response plan; run a first tabletop exercise</t>
  </si>
  <si>
    <t xml:space="preserve">Med</t>
  </si>
  <si>
    <t xml:space="preserve">R-10</t>
  </si>
  <si>
    <t xml:space="preserve">RESPONSE to MIL2</t>
  </si>
  <si>
    <t xml:space="preserve">RM-04</t>
  </si>
  <si>
    <t xml:space="preserve">Introduce a removable-media control policy for OT (allow-listing, scanning, minimize use)</t>
  </si>
  <si>
    <t xml:space="preserve">R-08</t>
  </si>
  <si>
    <t xml:space="preserve">THREAT support</t>
  </si>
  <si>
    <t xml:space="preserve">RM-05</t>
  </si>
  <si>
    <t xml:space="preserve">Centralize PLC logic and configuration backups off the field laptop; add version control</t>
  </si>
  <si>
    <t xml:space="preserve">R-09</t>
  </si>
  <si>
    <t xml:space="preserve">ASSET support</t>
  </si>
  <si>
    <t xml:space="preserve">RM-06</t>
  </si>
  <si>
    <t xml:space="preserve">Build a Level 3.5 OT DMZ with a replica historian; end the historian's dual-homing</t>
  </si>
  <si>
    <t xml:space="preserve">Structural (3-12 mo)</t>
  </si>
  <si>
    <t xml:space="preserve">R-01, R-13</t>
  </si>
  <si>
    <t xml:space="preserve">ARCHITECTURE toward MIL2</t>
  </si>
  <si>
    <t xml:space="preserve">RM-07</t>
  </si>
  <si>
    <t xml:space="preserve">Segment the flat control LAN into the Phase 2 zones with enforced conduits</t>
  </si>
  <si>
    <t xml:space="preserve">R-12, R-02, R-05</t>
  </si>
  <si>
    <t xml:space="preserve">ARCHITECTURE toward MIL3</t>
  </si>
  <si>
    <t xml:space="preserve">RM-08</t>
  </si>
  <si>
    <t xml:space="preserve">Move the cellular telemetry VPN to land in the DMZ; broker vendor access via an MFA jump host</t>
  </si>
  <si>
    <t xml:space="preserve">Med-High</t>
  </si>
  <si>
    <t xml:space="preserve">R-02, R-03</t>
  </si>
  <si>
    <t xml:space="preserve">ARCHITECTURE, ACCESS to MIL3</t>
  </si>
  <si>
    <t xml:space="preserve">RM-09</t>
  </si>
  <si>
    <t xml:space="preserve">Isolate the chlorine dosing zone (Z6) behind an enforced conduit; add setpoint-change monitoring</t>
  </si>
  <si>
    <t xml:space="preserve">R-04, R-14</t>
  </si>
  <si>
    <t xml:space="preserve">ARCHITECTURE, SITUATION</t>
  </si>
  <si>
    <t xml:space="preserve">Stand up a governed OT security program: sponsorship, scope, roles, policy set, recurring risk cycle</t>
  </si>
  <si>
    <t xml:space="preserve">Program (6-24 mo)</t>
  </si>
  <si>
    <t xml:space="preserve">Foundational (all)</t>
  </si>
  <si>
    <t xml:space="preserve">PROGRAM to MIL2, RISK to MIL2-3</t>
  </si>
  <si>
    <t xml:space="preserve">Formalize third-party risk management for Nortec and future suppliers (contract terms, questionnaire, review)</t>
  </si>
  <si>
    <t xml:space="preserve">R-03 (governance)</t>
  </si>
  <si>
    <t xml:space="preserve">THIRD-PARTIES to MIL2</t>
  </si>
  <si>
    <t xml:space="preserve">Establish OT vulnerability management; apply compensating controls for the Windows 7 HMIs pending replacement</t>
  </si>
  <si>
    <t xml:space="preserve">R-05</t>
  </si>
  <si>
    <t xml:space="preserve">THREAT to MIL2</t>
  </si>
  <si>
    <t xml:space="preserve">Define OT security roles and deliver role-based OT security training</t>
  </si>
  <si>
    <t xml:space="preserve">Workforce capability</t>
  </si>
  <si>
    <t xml:space="preserve">WORKFORCE to MIL2</t>
  </si>
  <si>
    <t xml:space="preserve">Deploy OT security logging and monitoring with a basic set of detection use cases</t>
  </si>
  <si>
    <t xml:space="preserve">Detection across all</t>
  </si>
  <si>
    <t xml:space="preserve">SITUATION to MIL2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</si>
</sst>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i val="true"/>
      <sz val="10"/>
      <color rgb="FF55607A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8A6D00"/>
      <name val="Arial"/>
      <family val="0"/>
      <charset val="1"/>
    </font>
    <font>
      <b val="true"/>
      <sz val="11"/>
      <color rgb="FF9C4A00"/>
      <name val="Arial"/>
      <family val="0"/>
      <charset val="1"/>
    </font>
    <font>
      <b val="true"/>
      <sz val="11"/>
      <color rgb="FFB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EB9C"/>
        <bgColor rgb="FFFDF1E3"/>
      </patternFill>
    </fill>
    <fill>
      <patternFill patternType="solid">
        <fgColor rgb="FFFFC79C"/>
        <bgColor rgb="FFFFB3B3"/>
      </patternFill>
    </fill>
    <fill>
      <patternFill patternType="solid">
        <fgColor rgb="FFFFB3B3"/>
        <bgColor rgb="FFFFC79C"/>
      </patternFill>
    </fill>
    <fill>
      <patternFill patternType="solid">
        <fgColor rgb="FFE8F6EC"/>
        <bgColor rgb="FFE8F0FC"/>
      </patternFill>
    </fill>
    <fill>
      <patternFill patternType="solid">
        <fgColor rgb="FFE8F0FC"/>
        <bgColor rgb="FFE8F6EC"/>
      </patternFill>
    </fill>
    <fill>
      <patternFill patternType="solid">
        <fgColor rgb="FFFDF1E3"/>
        <bgColor rgb="FFE8F6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A6D00"/>
      <rgbColor rgb="FF800080"/>
      <rgbColor rgb="FF008080"/>
      <rgbColor rgb="FFB7C0CC"/>
      <rgbColor rgb="FF808080"/>
      <rgbColor rgb="FF9999FF"/>
      <rgbColor rgb="FF993366"/>
      <rgbColor rgb="FFFDF1E3"/>
      <rgbColor rgb="FFE8F6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C"/>
      <rgbColor rgb="FFCCFFCC"/>
      <rgbColor rgb="FFFFEB9C"/>
      <rgbColor rgb="FF99CCFF"/>
      <rgbColor rgb="FFFFB3B3"/>
      <rgbColor rgb="FFCC99FF"/>
      <rgbColor rgb="FFFFC79C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1F3A5F"/>
      <rgbColor rgb="FF339966"/>
      <rgbColor rgb="FF003300"/>
      <rgbColor rgb="FF333300"/>
      <rgbColor rgb="FF9C4A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5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4" t="s">
        <v>5</v>
      </c>
    </row>
    <row r="6" customFormat="false" ht="26.85" hidden="false" customHeight="false" outlineLevel="0" collapsed="false">
      <c r="A6" s="5" t="s">
        <v>6</v>
      </c>
      <c r="B6" s="4" t="s">
        <v>7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5" t="s">
        <v>8</v>
      </c>
      <c r="B8" s="4"/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5" t="s">
        <v>15</v>
      </c>
      <c r="B13" s="4" t="s">
        <v>16</v>
      </c>
    </row>
    <row r="14" customFormat="false" ht="15" hidden="false" customHeight="false" outlineLevel="0" collapsed="false">
      <c r="A14" s="5" t="s">
        <v>17</v>
      </c>
      <c r="B14" s="4" t="s">
        <v>18</v>
      </c>
    </row>
    <row r="15" customFormat="false" ht="26.85" hidden="false" customHeight="false" outlineLevel="0" collapsed="false">
      <c r="A15" s="5" t="s">
        <v>19</v>
      </c>
      <c r="B15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4" min="3" style="0" width="14"/>
    <col collapsed="false" customWidth="true" hidden="false" outlineLevel="0" max="5" min="5" style="0" width="8"/>
    <col collapsed="false" customWidth="true" hidden="false" outlineLevel="0" max="6" min="6" style="0" width="70"/>
  </cols>
  <sheetData>
    <row r="1" customFormat="false" ht="18.5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</row>
    <row r="5" customFormat="false" ht="26.85" hidden="false" customHeight="false" outlineLevel="0" collapsed="false">
      <c r="A5" s="7" t="n">
        <v>1</v>
      </c>
      <c r="B5" s="8" t="s">
        <v>29</v>
      </c>
      <c r="C5" s="7" t="n">
        <v>1</v>
      </c>
      <c r="D5" s="7" t="n">
        <v>2</v>
      </c>
      <c r="E5" s="9" t="n">
        <f aca="false">D5-C5</f>
        <v>1</v>
      </c>
      <c r="F5" s="10" t="s">
        <v>30</v>
      </c>
    </row>
    <row r="6" customFormat="false" ht="26.85" hidden="false" customHeight="false" outlineLevel="0" collapsed="false">
      <c r="A6" s="7" t="n">
        <v>2</v>
      </c>
      <c r="B6" s="8" t="s">
        <v>31</v>
      </c>
      <c r="C6" s="7" t="n">
        <v>0</v>
      </c>
      <c r="D6" s="7" t="n">
        <v>2</v>
      </c>
      <c r="E6" s="11" t="n">
        <f aca="false">D6-C6</f>
        <v>2</v>
      </c>
      <c r="F6" s="10" t="s">
        <v>32</v>
      </c>
    </row>
    <row r="7" customFormat="false" ht="26.85" hidden="false" customHeight="false" outlineLevel="0" collapsed="false">
      <c r="A7" s="7" t="n">
        <v>3</v>
      </c>
      <c r="B7" s="8" t="s">
        <v>33</v>
      </c>
      <c r="C7" s="7" t="n">
        <v>0</v>
      </c>
      <c r="D7" s="7" t="n">
        <v>3</v>
      </c>
      <c r="E7" s="12" t="n">
        <f aca="false">D7-C7</f>
        <v>3</v>
      </c>
      <c r="F7" s="10" t="s">
        <v>34</v>
      </c>
    </row>
    <row r="8" customFormat="false" ht="26.85" hidden="false" customHeight="false" outlineLevel="0" collapsed="false">
      <c r="A8" s="7" t="n">
        <v>4</v>
      </c>
      <c r="B8" s="8" t="s">
        <v>35</v>
      </c>
      <c r="C8" s="7" t="n">
        <v>0</v>
      </c>
      <c r="D8" s="7" t="n">
        <v>3</v>
      </c>
      <c r="E8" s="12" t="n">
        <f aca="false">D8-C8</f>
        <v>3</v>
      </c>
      <c r="F8" s="10" t="s">
        <v>36</v>
      </c>
    </row>
    <row r="9" customFormat="false" ht="26.85" hidden="false" customHeight="false" outlineLevel="0" collapsed="false">
      <c r="A9" s="7" t="n">
        <v>5</v>
      </c>
      <c r="B9" s="8" t="s">
        <v>37</v>
      </c>
      <c r="C9" s="7" t="n">
        <v>1</v>
      </c>
      <c r="D9" s="7" t="n">
        <v>2</v>
      </c>
      <c r="E9" s="9" t="n">
        <f aca="false">D9-C9</f>
        <v>1</v>
      </c>
      <c r="F9" s="10" t="s">
        <v>38</v>
      </c>
    </row>
    <row r="10" customFormat="false" ht="26.85" hidden="false" customHeight="false" outlineLevel="0" collapsed="false">
      <c r="A10" s="7" t="n">
        <v>6</v>
      </c>
      <c r="B10" s="8" t="s">
        <v>39</v>
      </c>
      <c r="C10" s="7" t="n">
        <v>1</v>
      </c>
      <c r="D10" s="7" t="n">
        <v>3</v>
      </c>
      <c r="E10" s="11" t="n">
        <f aca="false">D10-C10</f>
        <v>2</v>
      </c>
      <c r="F10" s="10" t="s">
        <v>40</v>
      </c>
    </row>
    <row r="11" customFormat="false" ht="26.85" hidden="false" customHeight="false" outlineLevel="0" collapsed="false">
      <c r="A11" s="7" t="n">
        <v>7</v>
      </c>
      <c r="B11" s="8" t="s">
        <v>41</v>
      </c>
      <c r="C11" s="7" t="n">
        <v>0</v>
      </c>
      <c r="D11" s="7" t="n">
        <v>2</v>
      </c>
      <c r="E11" s="11" t="n">
        <f aca="false">D11-C11</f>
        <v>2</v>
      </c>
      <c r="F11" s="10" t="s">
        <v>42</v>
      </c>
    </row>
    <row r="12" customFormat="false" ht="26.85" hidden="false" customHeight="false" outlineLevel="0" collapsed="false">
      <c r="A12" s="7" t="n">
        <v>8</v>
      </c>
      <c r="B12" s="8" t="s">
        <v>43</v>
      </c>
      <c r="C12" s="7" t="n">
        <v>1</v>
      </c>
      <c r="D12" s="7" t="n">
        <v>2</v>
      </c>
      <c r="E12" s="9" t="n">
        <f aca="false">D12-C12</f>
        <v>1</v>
      </c>
      <c r="F12" s="10" t="s">
        <v>44</v>
      </c>
    </row>
    <row r="13" customFormat="false" ht="26.85" hidden="false" customHeight="false" outlineLevel="0" collapsed="false">
      <c r="A13" s="7" t="n">
        <v>9</v>
      </c>
      <c r="B13" s="8" t="s">
        <v>45</v>
      </c>
      <c r="C13" s="7" t="n">
        <v>0</v>
      </c>
      <c r="D13" s="7" t="n">
        <v>3</v>
      </c>
      <c r="E13" s="12" t="n">
        <f aca="false">D13-C13</f>
        <v>3</v>
      </c>
      <c r="F13" s="10" t="s">
        <v>46</v>
      </c>
    </row>
    <row r="14" customFormat="false" ht="26.85" hidden="false" customHeight="false" outlineLevel="0" collapsed="false">
      <c r="A14" s="7" t="n">
        <v>10</v>
      </c>
      <c r="B14" s="8" t="s">
        <v>47</v>
      </c>
      <c r="C14" s="7" t="n">
        <v>0</v>
      </c>
      <c r="D14" s="7" t="n">
        <v>2</v>
      </c>
      <c r="E14" s="11" t="n">
        <f aca="false">D14-C14</f>
        <v>2</v>
      </c>
      <c r="F14" s="10" t="s">
        <v>48</v>
      </c>
    </row>
    <row r="16" customFormat="false" ht="15" hidden="false" customHeight="false" outlineLevel="0" collapsed="false">
      <c r="B16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9"/>
    <col collapsed="false" customWidth="true" hidden="false" outlineLevel="0" max="4" min="4" style="0" width="7"/>
    <col collapsed="false" customWidth="true" hidden="false" outlineLevel="0" max="5" min="5" style="0" width="60"/>
    <col collapsed="false" customWidth="true" hidden="false" outlineLevel="0" max="6" min="6" style="0" width="22"/>
  </cols>
  <sheetData>
    <row r="1" customFormat="false" ht="18.5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12</v>
      </c>
    </row>
    <row r="4" customFormat="false" ht="15" hidden="false" customHeight="false" outlineLevel="0" collapsed="false">
      <c r="A4" s="6" t="s">
        <v>24</v>
      </c>
      <c r="B4" s="6" t="s">
        <v>51</v>
      </c>
      <c r="C4" s="6" t="s">
        <v>52</v>
      </c>
      <c r="D4" s="6" t="s">
        <v>27</v>
      </c>
      <c r="E4" s="6" t="s">
        <v>53</v>
      </c>
      <c r="F4" s="6" t="s">
        <v>54</v>
      </c>
    </row>
    <row r="5" customFormat="false" ht="26.85" hidden="false" customHeight="false" outlineLevel="0" collapsed="false">
      <c r="A5" s="8" t="s">
        <v>29</v>
      </c>
      <c r="B5" s="7" t="n">
        <v>1</v>
      </c>
      <c r="C5" s="7" t="n">
        <v>2</v>
      </c>
      <c r="D5" s="9" t="n">
        <f aca="false">C5-B5</f>
        <v>1</v>
      </c>
      <c r="E5" s="10" t="s">
        <v>55</v>
      </c>
      <c r="F5" s="10" t="s">
        <v>56</v>
      </c>
    </row>
    <row r="6" customFormat="false" ht="26.85" hidden="false" customHeight="false" outlineLevel="0" collapsed="false">
      <c r="A6" s="8" t="s">
        <v>31</v>
      </c>
      <c r="B6" s="7" t="n">
        <v>0</v>
      </c>
      <c r="C6" s="7" t="n">
        <v>2</v>
      </c>
      <c r="D6" s="11" t="n">
        <f aca="false">C6-B6</f>
        <v>2</v>
      </c>
      <c r="E6" s="10" t="s">
        <v>57</v>
      </c>
      <c r="F6" s="10" t="s">
        <v>58</v>
      </c>
    </row>
    <row r="7" customFormat="false" ht="26.85" hidden="false" customHeight="false" outlineLevel="0" collapsed="false">
      <c r="A7" s="8" t="s">
        <v>33</v>
      </c>
      <c r="B7" s="7" t="n">
        <v>0</v>
      </c>
      <c r="C7" s="7" t="n">
        <v>3</v>
      </c>
      <c r="D7" s="12" t="n">
        <f aca="false">C7-B7</f>
        <v>3</v>
      </c>
      <c r="E7" s="10" t="s">
        <v>59</v>
      </c>
      <c r="F7" s="10" t="s">
        <v>60</v>
      </c>
    </row>
    <row r="8" customFormat="false" ht="26.85" hidden="false" customHeight="false" outlineLevel="0" collapsed="false">
      <c r="A8" s="8" t="s">
        <v>35</v>
      </c>
      <c r="B8" s="7" t="n">
        <v>0</v>
      </c>
      <c r="C8" s="7" t="n">
        <v>3</v>
      </c>
      <c r="D8" s="12" t="n">
        <f aca="false">C8-B8</f>
        <v>3</v>
      </c>
      <c r="E8" s="10" t="s">
        <v>61</v>
      </c>
      <c r="F8" s="10" t="s">
        <v>62</v>
      </c>
    </row>
    <row r="9" customFormat="false" ht="26.85" hidden="false" customHeight="false" outlineLevel="0" collapsed="false">
      <c r="A9" s="8" t="s">
        <v>37</v>
      </c>
      <c r="B9" s="7" t="n">
        <v>1</v>
      </c>
      <c r="C9" s="7" t="n">
        <v>2</v>
      </c>
      <c r="D9" s="9" t="n">
        <f aca="false">C9-B9</f>
        <v>1</v>
      </c>
      <c r="E9" s="10" t="s">
        <v>63</v>
      </c>
      <c r="F9" s="10" t="s">
        <v>64</v>
      </c>
    </row>
    <row r="10" customFormat="false" ht="26.85" hidden="false" customHeight="false" outlineLevel="0" collapsed="false">
      <c r="A10" s="8" t="s">
        <v>39</v>
      </c>
      <c r="B10" s="7" t="n">
        <v>1</v>
      </c>
      <c r="C10" s="7" t="n">
        <v>3</v>
      </c>
      <c r="D10" s="11" t="n">
        <f aca="false">C10-B10</f>
        <v>2</v>
      </c>
      <c r="E10" s="10" t="s">
        <v>65</v>
      </c>
      <c r="F10" s="10" t="s">
        <v>66</v>
      </c>
    </row>
    <row r="11" customFormat="false" ht="26.85" hidden="false" customHeight="false" outlineLevel="0" collapsed="false">
      <c r="A11" s="8" t="s">
        <v>41</v>
      </c>
      <c r="B11" s="7" t="n">
        <v>0</v>
      </c>
      <c r="C11" s="7" t="n">
        <v>2</v>
      </c>
      <c r="D11" s="11" t="n">
        <f aca="false">C11-B11</f>
        <v>2</v>
      </c>
      <c r="E11" s="10" t="s">
        <v>67</v>
      </c>
      <c r="F11" s="10" t="s">
        <v>68</v>
      </c>
    </row>
    <row r="12" customFormat="false" ht="15" hidden="false" customHeight="false" outlineLevel="0" collapsed="false">
      <c r="A12" s="8" t="s">
        <v>43</v>
      </c>
      <c r="B12" s="7" t="n">
        <v>1</v>
      </c>
      <c r="C12" s="7" t="n">
        <v>2</v>
      </c>
      <c r="D12" s="9" t="n">
        <f aca="false">C12-B12</f>
        <v>1</v>
      </c>
      <c r="E12" s="10" t="s">
        <v>69</v>
      </c>
      <c r="F12" s="10" t="s">
        <v>70</v>
      </c>
    </row>
    <row r="13" customFormat="false" ht="26.85" hidden="false" customHeight="false" outlineLevel="0" collapsed="false">
      <c r="A13" s="8" t="s">
        <v>45</v>
      </c>
      <c r="B13" s="7" t="n">
        <v>0</v>
      </c>
      <c r="C13" s="7" t="n">
        <v>3</v>
      </c>
      <c r="D13" s="12" t="n">
        <f aca="false">C13-B13</f>
        <v>3</v>
      </c>
      <c r="E13" s="10" t="s">
        <v>71</v>
      </c>
      <c r="F13" s="10" t="s">
        <v>72</v>
      </c>
    </row>
    <row r="14" customFormat="false" ht="26.85" hidden="false" customHeight="false" outlineLevel="0" collapsed="false">
      <c r="A14" s="8" t="s">
        <v>47</v>
      </c>
      <c r="B14" s="7" t="n">
        <v>0</v>
      </c>
      <c r="C14" s="7" t="n">
        <v>2</v>
      </c>
      <c r="D14" s="11" t="n">
        <f aca="false">C14-B14</f>
        <v>2</v>
      </c>
      <c r="E14" s="10" t="s">
        <v>73</v>
      </c>
      <c r="F14" s="1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7" min="7" style="0" width="30"/>
  </cols>
  <sheetData>
    <row r="1" customFormat="false" ht="18.5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15" hidden="false" customHeight="false" outlineLevel="0" collapsed="false">
      <c r="A4" s="6" t="s">
        <v>76</v>
      </c>
      <c r="B4" s="6" t="s">
        <v>77</v>
      </c>
      <c r="C4" s="6" t="s">
        <v>78</v>
      </c>
      <c r="D4" s="6" t="s">
        <v>79</v>
      </c>
      <c r="E4" s="6" t="s">
        <v>80</v>
      </c>
      <c r="F4" s="6" t="s">
        <v>81</v>
      </c>
      <c r="G4" s="6" t="s">
        <v>82</v>
      </c>
    </row>
    <row r="5" customFormat="false" ht="26.85" hidden="false" customHeight="false" outlineLevel="0" collapsed="false">
      <c r="A5" s="13" t="s">
        <v>83</v>
      </c>
      <c r="B5" s="14" t="s">
        <v>84</v>
      </c>
      <c r="C5" s="15" t="s">
        <v>85</v>
      </c>
      <c r="D5" s="16" t="s">
        <v>86</v>
      </c>
      <c r="E5" s="16" t="s">
        <v>87</v>
      </c>
      <c r="F5" s="14" t="s">
        <v>88</v>
      </c>
      <c r="G5" s="14" t="s">
        <v>89</v>
      </c>
    </row>
    <row r="6" customFormat="false" ht="26.85" hidden="false" customHeight="false" outlineLevel="0" collapsed="false">
      <c r="A6" s="13" t="s">
        <v>90</v>
      </c>
      <c r="B6" s="14" t="s">
        <v>91</v>
      </c>
      <c r="C6" s="15" t="s">
        <v>85</v>
      </c>
      <c r="D6" s="16" t="s">
        <v>92</v>
      </c>
      <c r="E6" s="16" t="s">
        <v>87</v>
      </c>
      <c r="F6" s="14" t="s">
        <v>93</v>
      </c>
      <c r="G6" s="14" t="s">
        <v>94</v>
      </c>
    </row>
    <row r="7" customFormat="false" ht="26.85" hidden="false" customHeight="false" outlineLevel="0" collapsed="false">
      <c r="A7" s="13" t="s">
        <v>66</v>
      </c>
      <c r="B7" s="14" t="s">
        <v>95</v>
      </c>
      <c r="C7" s="15" t="s">
        <v>85</v>
      </c>
      <c r="D7" s="16" t="s">
        <v>96</v>
      </c>
      <c r="E7" s="16" t="s">
        <v>87</v>
      </c>
      <c r="F7" s="14" t="s">
        <v>97</v>
      </c>
      <c r="G7" s="14" t="s">
        <v>98</v>
      </c>
    </row>
    <row r="8" customFormat="false" ht="26.85" hidden="false" customHeight="false" outlineLevel="0" collapsed="false">
      <c r="A8" s="13" t="s">
        <v>99</v>
      </c>
      <c r="B8" s="14" t="s">
        <v>100</v>
      </c>
      <c r="C8" s="15" t="s">
        <v>85</v>
      </c>
      <c r="D8" s="16" t="s">
        <v>86</v>
      </c>
      <c r="E8" s="16" t="s">
        <v>96</v>
      </c>
      <c r="F8" s="14" t="s">
        <v>101</v>
      </c>
      <c r="G8" s="14" t="s">
        <v>102</v>
      </c>
    </row>
    <row r="9" customFormat="false" ht="26.85" hidden="false" customHeight="false" outlineLevel="0" collapsed="false">
      <c r="A9" s="13" t="s">
        <v>103</v>
      </c>
      <c r="B9" s="14" t="s">
        <v>104</v>
      </c>
      <c r="C9" s="15" t="s">
        <v>85</v>
      </c>
      <c r="D9" s="16" t="s">
        <v>86</v>
      </c>
      <c r="E9" s="16" t="s">
        <v>96</v>
      </c>
      <c r="F9" s="14" t="s">
        <v>105</v>
      </c>
      <c r="G9" s="14" t="s">
        <v>106</v>
      </c>
    </row>
    <row r="10" customFormat="false" ht="26.85" hidden="false" customHeight="false" outlineLevel="0" collapsed="false">
      <c r="A10" s="17" t="s">
        <v>107</v>
      </c>
      <c r="B10" s="18" t="s">
        <v>108</v>
      </c>
      <c r="C10" s="19" t="s">
        <v>109</v>
      </c>
      <c r="D10" s="20" t="s">
        <v>87</v>
      </c>
      <c r="E10" s="20" t="s">
        <v>87</v>
      </c>
      <c r="F10" s="18" t="s">
        <v>110</v>
      </c>
      <c r="G10" s="18" t="s">
        <v>111</v>
      </c>
    </row>
    <row r="11" customFormat="false" ht="26.85" hidden="false" customHeight="false" outlineLevel="0" collapsed="false">
      <c r="A11" s="17" t="s">
        <v>112</v>
      </c>
      <c r="B11" s="18" t="s">
        <v>113</v>
      </c>
      <c r="C11" s="19" t="s">
        <v>109</v>
      </c>
      <c r="D11" s="20" t="s">
        <v>87</v>
      </c>
      <c r="E11" s="20" t="s">
        <v>87</v>
      </c>
      <c r="F11" s="18" t="s">
        <v>114</v>
      </c>
      <c r="G11" s="18" t="s">
        <v>115</v>
      </c>
    </row>
    <row r="12" customFormat="false" ht="26.85" hidden="false" customHeight="false" outlineLevel="0" collapsed="false">
      <c r="A12" s="17" t="s">
        <v>116</v>
      </c>
      <c r="B12" s="18" t="s">
        <v>117</v>
      </c>
      <c r="C12" s="19" t="s">
        <v>109</v>
      </c>
      <c r="D12" s="20" t="s">
        <v>118</v>
      </c>
      <c r="E12" s="20" t="s">
        <v>87</v>
      </c>
      <c r="F12" s="18" t="s">
        <v>119</v>
      </c>
      <c r="G12" s="18" t="s">
        <v>120</v>
      </c>
    </row>
    <row r="13" customFormat="false" ht="26.85" hidden="false" customHeight="false" outlineLevel="0" collapsed="false">
      <c r="A13" s="17" t="s">
        <v>121</v>
      </c>
      <c r="B13" s="18" t="s">
        <v>122</v>
      </c>
      <c r="C13" s="19" t="s">
        <v>109</v>
      </c>
      <c r="D13" s="20" t="s">
        <v>96</v>
      </c>
      <c r="E13" s="20" t="s">
        <v>87</v>
      </c>
      <c r="F13" s="18" t="s">
        <v>123</v>
      </c>
      <c r="G13" s="18" t="s">
        <v>124</v>
      </c>
    </row>
    <row r="14" customFormat="false" ht="39.55" hidden="false" customHeight="false" outlineLevel="0" collapsed="false">
      <c r="A14" s="21" t="s">
        <v>60</v>
      </c>
      <c r="B14" s="22" t="s">
        <v>125</v>
      </c>
      <c r="C14" s="23" t="s">
        <v>126</v>
      </c>
      <c r="D14" s="24" t="s">
        <v>87</v>
      </c>
      <c r="E14" s="24" t="s">
        <v>87</v>
      </c>
      <c r="F14" s="22" t="s">
        <v>127</v>
      </c>
      <c r="G14" s="22" t="s">
        <v>128</v>
      </c>
    </row>
    <row r="15" customFormat="false" ht="26.85" hidden="false" customHeight="false" outlineLevel="0" collapsed="false">
      <c r="A15" s="21" t="s">
        <v>68</v>
      </c>
      <c r="B15" s="22" t="s">
        <v>129</v>
      </c>
      <c r="C15" s="23" t="s">
        <v>126</v>
      </c>
      <c r="D15" s="24" t="s">
        <v>96</v>
      </c>
      <c r="E15" s="24" t="s">
        <v>96</v>
      </c>
      <c r="F15" s="22" t="s">
        <v>130</v>
      </c>
      <c r="G15" s="22" t="s">
        <v>131</v>
      </c>
    </row>
    <row r="16" customFormat="false" ht="39.55" hidden="false" customHeight="false" outlineLevel="0" collapsed="false">
      <c r="A16" s="21" t="s">
        <v>58</v>
      </c>
      <c r="B16" s="22" t="s">
        <v>132</v>
      </c>
      <c r="C16" s="23" t="s">
        <v>126</v>
      </c>
      <c r="D16" s="24" t="s">
        <v>96</v>
      </c>
      <c r="E16" s="24" t="s">
        <v>96</v>
      </c>
      <c r="F16" s="22" t="s">
        <v>133</v>
      </c>
      <c r="G16" s="22" t="s">
        <v>134</v>
      </c>
    </row>
    <row r="17" customFormat="false" ht="26.85" hidden="false" customHeight="false" outlineLevel="0" collapsed="false">
      <c r="A17" s="21" t="s">
        <v>70</v>
      </c>
      <c r="B17" s="22" t="s">
        <v>135</v>
      </c>
      <c r="C17" s="23" t="s">
        <v>126</v>
      </c>
      <c r="D17" s="24" t="s">
        <v>96</v>
      </c>
      <c r="E17" s="24" t="s">
        <v>96</v>
      </c>
      <c r="F17" s="22" t="s">
        <v>136</v>
      </c>
      <c r="G17" s="22" t="s">
        <v>137</v>
      </c>
    </row>
    <row r="18" customFormat="false" ht="26.85" hidden="false" customHeight="false" outlineLevel="0" collapsed="false">
      <c r="A18" s="21" t="s">
        <v>64</v>
      </c>
      <c r="B18" s="22" t="s">
        <v>138</v>
      </c>
      <c r="C18" s="23" t="s">
        <v>126</v>
      </c>
      <c r="D18" s="24" t="s">
        <v>118</v>
      </c>
      <c r="E18" s="24" t="s">
        <v>96</v>
      </c>
      <c r="F18" s="22" t="s">
        <v>139</v>
      </c>
      <c r="G18" s="22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2026-07-13T06:18:56Z</dcterms:created>
  <dc:creator>openpyxl</dc:creator>
  <dc:description/>
  <dc:language>en-US</dc:language>
  <cp:lastModifiedBy/>
  <dcterms:modified xsi:type="dcterms:W3CDTF">2026-07-13T06:18:56Z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